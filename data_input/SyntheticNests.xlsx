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esktop/00_Strom_Research/Field Activities/SyntheticNests/"/>
    </mc:Choice>
  </mc:AlternateContent>
  <xr:revisionPtr revIDLastSave="0" documentId="13_ncr:1_{00C3B72C-ADEB-9A41-8D16-C8DAF48AC9F0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erosion" sheetId="1" r:id="rId1"/>
    <sheet name="XS_synthetic" sheetId="2" r:id="rId2"/>
    <sheet name="XS_cs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W15" i="1"/>
  <c r="V15" i="1"/>
  <c r="K14" i="1"/>
  <c r="E14" i="1"/>
  <c r="W14" i="1"/>
  <c r="V14" i="1"/>
  <c r="K13" i="1"/>
  <c r="E13" i="1"/>
  <c r="W13" i="1"/>
  <c r="V13" i="1"/>
  <c r="K12" i="1"/>
  <c r="E12" i="1"/>
  <c r="W12" i="1"/>
  <c r="V12" i="1"/>
  <c r="K11" i="1"/>
  <c r="E11" i="1"/>
  <c r="W11" i="1"/>
  <c r="V11" i="1"/>
  <c r="N37" i="2"/>
  <c r="O37" i="2" s="1"/>
  <c r="N29" i="2"/>
  <c r="O29" i="2" s="1"/>
  <c r="N21" i="2"/>
  <c r="O21" i="2" s="1"/>
  <c r="N19" i="2"/>
  <c r="A18" i="2"/>
  <c r="A19" i="2" s="1"/>
  <c r="N17" i="2"/>
  <c r="A17" i="2"/>
  <c r="I16" i="2"/>
  <c r="N40" i="2" s="1"/>
  <c r="O40" i="2" s="1"/>
  <c r="W10" i="1"/>
  <c r="V10" i="1"/>
  <c r="K10" i="1"/>
  <c r="E10" i="1"/>
  <c r="W9" i="1"/>
  <c r="V9" i="1"/>
  <c r="K9" i="1"/>
  <c r="E9" i="1"/>
  <c r="W8" i="1"/>
  <c r="V8" i="1"/>
  <c r="K8" i="1"/>
  <c r="E8" i="1"/>
  <c r="E7" i="1"/>
  <c r="W6" i="1"/>
  <c r="V6" i="1"/>
  <c r="N6" i="1"/>
  <c r="K6" i="1"/>
  <c r="E6" i="1"/>
  <c r="W5" i="1"/>
  <c r="V5" i="1"/>
  <c r="N5" i="1"/>
  <c r="K5" i="1"/>
  <c r="E5" i="1"/>
  <c r="W4" i="1"/>
  <c r="V4" i="1"/>
  <c r="N4" i="1"/>
  <c r="K4" i="1"/>
  <c r="E4" i="1"/>
  <c r="N3" i="1"/>
  <c r="K3" i="1"/>
  <c r="E3" i="1"/>
  <c r="E2" i="1"/>
  <c r="A20" i="2" l="1"/>
  <c r="N54" i="2"/>
  <c r="N36" i="2"/>
  <c r="O36" i="2" s="1"/>
  <c r="N16" i="2"/>
  <c r="N18" i="2"/>
  <c r="N20" i="2"/>
  <c r="N25" i="2"/>
  <c r="O25" i="2" s="1"/>
  <c r="N33" i="2"/>
  <c r="O33" i="2" s="1"/>
  <c r="N41" i="2"/>
  <c r="O41" i="2" s="1"/>
  <c r="N26" i="2"/>
  <c r="O26" i="2" s="1"/>
  <c r="N34" i="2"/>
  <c r="O34" i="2" s="1"/>
  <c r="N56" i="2"/>
  <c r="N28" i="2"/>
  <c r="O28" i="2" s="1"/>
  <c r="N22" i="2"/>
  <c r="O22" i="2" s="1"/>
  <c r="N30" i="2"/>
  <c r="O30" i="2" s="1"/>
  <c r="N38" i="2"/>
  <c r="O38" i="2" s="1"/>
  <c r="N42" i="2"/>
  <c r="O42" i="2" s="1"/>
  <c r="N39" i="2"/>
  <c r="O39" i="2" s="1"/>
  <c r="N46" i="2"/>
  <c r="N50" i="2"/>
  <c r="N58" i="2"/>
  <c r="N27" i="2"/>
  <c r="O27" i="2" s="1"/>
  <c r="N35" i="2"/>
  <c r="O35" i="2" s="1"/>
  <c r="N43" i="2"/>
  <c r="N45" i="2"/>
  <c r="N47" i="2"/>
  <c r="N49" i="2"/>
  <c r="N51" i="2"/>
  <c r="N53" i="2"/>
  <c r="N55" i="2"/>
  <c r="N57" i="2"/>
  <c r="N59" i="2"/>
  <c r="N61" i="2"/>
  <c r="N23" i="2"/>
  <c r="O23" i="2" s="1"/>
  <c r="J16" i="2" s="1"/>
  <c r="N31" i="2"/>
  <c r="O31" i="2" s="1"/>
  <c r="N44" i="2"/>
  <c r="N48" i="2"/>
  <c r="N52" i="2"/>
  <c r="N60" i="2"/>
  <c r="N24" i="2"/>
  <c r="O24" i="2" s="1"/>
  <c r="N32" i="2"/>
  <c r="O32" i="2" s="1"/>
  <c r="P61" i="2" l="1"/>
  <c r="P59" i="2"/>
  <c r="P57" i="2"/>
  <c r="P55" i="2"/>
  <c r="P53" i="2"/>
  <c r="P51" i="2"/>
  <c r="P49" i="2"/>
  <c r="P47" i="2"/>
  <c r="P45" i="2"/>
  <c r="P43" i="2"/>
  <c r="P38" i="2"/>
  <c r="P30" i="2"/>
  <c r="P22" i="2"/>
  <c r="P54" i="2"/>
  <c r="P50" i="2"/>
  <c r="P46" i="2"/>
  <c r="P42" i="2"/>
  <c r="P37" i="2"/>
  <c r="P24" i="2"/>
  <c r="P35" i="2"/>
  <c r="P41" i="2"/>
  <c r="P33" i="2"/>
  <c r="P25" i="2"/>
  <c r="P60" i="2"/>
  <c r="P52" i="2"/>
  <c r="P48" i="2"/>
  <c r="P44" i="2"/>
  <c r="P34" i="2"/>
  <c r="P29" i="2"/>
  <c r="P21" i="2"/>
  <c r="P40" i="2"/>
  <c r="P32" i="2"/>
  <c r="P19" i="2"/>
  <c r="P17" i="2"/>
  <c r="P27" i="2"/>
  <c r="P36" i="2"/>
  <c r="P28" i="2"/>
  <c r="P20" i="2"/>
  <c r="P18" i="2"/>
  <c r="P16" i="2"/>
  <c r="P58" i="2"/>
  <c r="P39" i="2"/>
  <c r="P31" i="2"/>
  <c r="P23" i="2"/>
  <c r="P56" i="2"/>
  <c r="P26" i="2"/>
  <c r="A21" i="2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H16" i="2" l="1"/>
  <c r="M16" i="2" l="1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</calcChain>
</file>

<file path=xl/sharedStrings.xml><?xml version="1.0" encoding="utf-8"?>
<sst xmlns="http://schemas.openxmlformats.org/spreadsheetml/2006/main" count="92" uniqueCount="71">
  <si>
    <t>Date</t>
  </si>
  <si>
    <t>Nest</t>
  </si>
  <si>
    <t>L_cm</t>
  </si>
  <si>
    <t>W_cm</t>
  </si>
  <si>
    <t>H_cm</t>
  </si>
  <si>
    <t>h_cm_front</t>
  </si>
  <si>
    <t>h_cm_back</t>
  </si>
  <si>
    <t>h_cm_crest</t>
  </si>
  <si>
    <t>u_amb_m_s</t>
  </si>
  <si>
    <t>u_pk_m_s</t>
  </si>
  <si>
    <t>amp_check</t>
  </si>
  <si>
    <t>Erosion</t>
  </si>
  <si>
    <t>Notes</t>
  </si>
  <si>
    <t>h_amb_cm</t>
  </si>
  <si>
    <t>h_amb_cm_HOBO</t>
  </si>
  <si>
    <t>rev_amb</t>
  </si>
  <si>
    <t>sec_amb</t>
  </si>
  <si>
    <t>rev_pk</t>
  </si>
  <si>
    <t>sec_pk</t>
  </si>
  <si>
    <t>rod_amb_ft</t>
  </si>
  <si>
    <t>rod_pk_ft</t>
  </si>
  <si>
    <t>amb_check</t>
  </si>
  <si>
    <t>pk_check</t>
  </si>
  <si>
    <t>none</t>
  </si>
  <si>
    <t>~4.5m DS of HOBO; ~middle of XS width; filter fabric with 4 anchor cobbles; deployment</t>
  </si>
  <si>
    <t>Turbid flows; no significant erosion; a few white gravel scattered DS of nest, US of culvert</t>
  </si>
  <si>
    <t>full</t>
  </si>
  <si>
    <t>Hard to evaluate, turbid; clear erosion to L(looking DS) and DS, nest is elogated and widened to one side, overall flat; length and width judged based off of prevalence of white gravel on tarp; height from trying a few, all similar to 45cm; wavering felt in cylindrical aluminum rod, not sure if just from eddies following hexagonal rod</t>
  </si>
  <si>
    <t>Left US corner of fabric peeled up, affecting nest flows probably; white gravel found all the way to the culvert, ~10m DS of nest; "logger data corrupted", needs new batteries; clear erosion to L (looking DS) and DS, nest is elongated and widened to one side, overall flat; width judged based off of prevalence of whtie gravel on tarp; length almost immeasurable; height from trying a few, all similar to 16cm</t>
  </si>
  <si>
    <t>deployment</t>
  </si>
  <si>
    <t>No significant erosion, a few white pebbles found rolled off or slightly DS; erosion possibly just stabilization; neglected velocities due to thunder</t>
  </si>
  <si>
    <t>Low flow, white grains removed that had moved off of nest; crest depth =0.15ft but lowest rod goes is 0.2x0.6d</t>
  </si>
  <si>
    <t>Higher flow; not too turbid; fine tailing on wake of nest</t>
  </si>
  <si>
    <t>Not turbid; possibly longer tail on wake; a few small white grains found DS, removed; no significant erosion</t>
  </si>
  <si>
    <t>notes</t>
  </si>
  <si>
    <t>date</t>
  </si>
  <si>
    <t>nest</t>
  </si>
  <si>
    <t>Synthetic</t>
  </si>
  <si>
    <t>facing_USDS</t>
  </si>
  <si>
    <t>DS</t>
  </si>
  <si>
    <t>water_temp_C</t>
  </si>
  <si>
    <t>nest_dim_L_cm</t>
  </si>
  <si>
    <t>nest_dim_W_cm</t>
  </si>
  <si>
    <t>nest_dim_H_cm</t>
  </si>
  <si>
    <t xml:space="preserve"> nest seems to only be footprint, even w/ tire in x; no activity observed</t>
  </si>
  <si>
    <t>nest_loc_x_cm</t>
  </si>
  <si>
    <t>just DS of XS</t>
  </si>
  <si>
    <t>nest_loc_y_cm</t>
  </si>
  <si>
    <t>nest centerline; y=0 at Trash Line LOB</t>
  </si>
  <si>
    <t>location of synthetic nest deployments; ~4.5m DS of HOBOlogger, US of culvert, on riffle section</t>
  </si>
  <si>
    <t>y_cm</t>
  </si>
  <si>
    <t>z_WS_ft</t>
  </si>
  <si>
    <t>z_Bed_ft</t>
  </si>
  <si>
    <t>min_y_cm</t>
  </si>
  <si>
    <t>max_z_ft</t>
  </si>
  <si>
    <t>avg_WSE_m</t>
  </si>
  <si>
    <t>y_m</t>
  </si>
  <si>
    <t>z_m</t>
  </si>
  <si>
    <t>WS_m</t>
  </si>
  <si>
    <t>WS_avg_m</t>
  </si>
  <si>
    <t>LB</t>
  </si>
  <si>
    <t>thalweg?</t>
  </si>
  <si>
    <t>L edge of nest box</t>
  </si>
  <si>
    <t>~centerline of nest 2</t>
  </si>
  <si>
    <t>R edge of nest box</t>
  </si>
  <si>
    <t>sand ripples</t>
  </si>
  <si>
    <t>z_ws_m</t>
  </si>
  <si>
    <t>No erosion</t>
  </si>
  <si>
    <t>A lot of fine tailing; Going to rebuild nest; No erosion</t>
  </si>
  <si>
    <t>no significant erosion, maybe partial; good amout of fines, but not tail; maybe biofilms; 1 bar off on battery icon</t>
  </si>
  <si>
    <t>no significant erosion, maybe partial; good amout of fines, but not tail; maybe biofilms; 2 bars off on battery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</si>
</sst>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0.000"/>
  </numFmts>
  <fonts count="8" x14ac:knownFonts="1">
    <font>
      <sz val="10"/>
      <color rgb="FF000000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3" fillId="2" borderId="0" xfId="0" applyFont="1" applyFill="1"/>
    <xf numFmtId="12" fontId="3" fillId="0" borderId="0" xfId="0" applyNumberFormat="1" applyFont="1" applyAlignment="1">
      <alignment horizontal="left"/>
    </xf>
    <xf numFmtId="2" fontId="3" fillId="2" borderId="0" xfId="0" applyNumberFormat="1" applyFont="1" applyFill="1"/>
    <xf numFmtId="0" fontId="3" fillId="3" borderId="0" xfId="0" applyFont="1" applyFill="1"/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12" fontId="3" fillId="0" borderId="0" xfId="0" applyNumberFormat="1" applyFont="1"/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2" fontId="1" fillId="0" borderId="0" xfId="0" applyNumberFormat="1" applyFont="1"/>
    <xf numFmtId="0" fontId="1" fillId="0" borderId="0" xfId="0" applyFont="1"/>
    <xf numFmtId="165" fontId="7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XS, facing 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XS_synthetic!$N$15</c:f>
              <c:strCache>
                <c:ptCount val="1"/>
                <c:pt idx="0">
                  <c:v>z_m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XS_synthetic!$M$16:$M$61</c:f>
              <c:numCache>
                <c:formatCode>0.00</c:formatCode>
                <c:ptCount val="4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</c:numCache>
            </c:numRef>
          </c:xVal>
          <c:yVal>
            <c:numRef>
              <c:f>XS_synthetic!$N$16:$N$61</c:f>
              <c:numCache>
                <c:formatCode>General</c:formatCode>
                <c:ptCount val="46"/>
                <c:pt idx="0">
                  <c:v>1.7128924108503503</c:v>
                </c:pt>
                <c:pt idx="1">
                  <c:v>1.6976531545260589</c:v>
                </c:pt>
                <c:pt idx="2">
                  <c:v>1.6519353855531849</c:v>
                </c:pt>
                <c:pt idx="3">
                  <c:v>1.5696434014020113</c:v>
                </c:pt>
                <c:pt idx="4">
                  <c:v>1.1795184395001521</c:v>
                </c:pt>
                <c:pt idx="5">
                  <c:v>0.12191405059433055</c:v>
                </c:pt>
                <c:pt idx="6">
                  <c:v>6.0957025297165277E-2</c:v>
                </c:pt>
                <c:pt idx="7">
                  <c:v>9.1435537945746288E-3</c:v>
                </c:pt>
                <c:pt idx="8">
                  <c:v>6.0957025297164198E-3</c:v>
                </c:pt>
                <c:pt idx="9">
                  <c:v>0</c:v>
                </c:pt>
                <c:pt idx="10">
                  <c:v>2.7430661383724429E-2</c:v>
                </c:pt>
                <c:pt idx="11">
                  <c:v>2.133495885400747E-2</c:v>
                </c:pt>
                <c:pt idx="12">
                  <c:v>4.571776897287369E-2</c:v>
                </c:pt>
                <c:pt idx="13">
                  <c:v>5.1813471502590649E-2</c:v>
                </c:pt>
                <c:pt idx="14">
                  <c:v>3.6574215178299056E-2</c:v>
                </c:pt>
                <c:pt idx="15">
                  <c:v>2.7430661383724429E-2</c:v>
                </c:pt>
                <c:pt idx="16">
                  <c:v>2.438281011886622E-2</c:v>
                </c:pt>
                <c:pt idx="17">
                  <c:v>1.5239256324291049E-2</c:v>
                </c:pt>
                <c:pt idx="18">
                  <c:v>1.5239256324291049E-2</c:v>
                </c:pt>
                <c:pt idx="19">
                  <c:v>1.8287107589149258E-2</c:v>
                </c:pt>
                <c:pt idx="20">
                  <c:v>3.0478512648582099E-3</c:v>
                </c:pt>
                <c:pt idx="21">
                  <c:v>0</c:v>
                </c:pt>
                <c:pt idx="22">
                  <c:v>1.219140505943284E-2</c:v>
                </c:pt>
                <c:pt idx="23">
                  <c:v>6.0957025297165277E-2</c:v>
                </c:pt>
                <c:pt idx="24">
                  <c:v>9.753124047546434E-2</c:v>
                </c:pt>
                <c:pt idx="25">
                  <c:v>0.15239256324291373</c:v>
                </c:pt>
                <c:pt idx="26">
                  <c:v>0.24078024992380345</c:v>
                </c:pt>
                <c:pt idx="27">
                  <c:v>0.51813471502590647</c:v>
                </c:pt>
                <c:pt idx="28">
                  <c:v>0.67052727826882019</c:v>
                </c:pt>
                <c:pt idx="29">
                  <c:v>0.80158488265772598</c:v>
                </c:pt>
                <c:pt idx="30">
                  <c:v>0.87168546174946637</c:v>
                </c:pt>
                <c:pt idx="31">
                  <c:v>0.87168546174946637</c:v>
                </c:pt>
                <c:pt idx="32">
                  <c:v>0.72538860103626912</c:v>
                </c:pt>
                <c:pt idx="33">
                  <c:v>0.70710149344711959</c:v>
                </c:pt>
                <c:pt idx="34">
                  <c:v>0.67357512953367848</c:v>
                </c:pt>
                <c:pt idx="35">
                  <c:v>0.71624504724169447</c:v>
                </c:pt>
                <c:pt idx="36">
                  <c:v>0.71624504724169447</c:v>
                </c:pt>
                <c:pt idx="37">
                  <c:v>0.63700091435537909</c:v>
                </c:pt>
                <c:pt idx="38">
                  <c:v>0.74977141115513535</c:v>
                </c:pt>
                <c:pt idx="39">
                  <c:v>0.92959463578177348</c:v>
                </c:pt>
                <c:pt idx="40">
                  <c:v>0.99359951234379729</c:v>
                </c:pt>
                <c:pt idx="41">
                  <c:v>1.069795793965254</c:v>
                </c:pt>
                <c:pt idx="42">
                  <c:v>1.2374276135324593</c:v>
                </c:pt>
                <c:pt idx="43">
                  <c:v>1.2892410850350502</c:v>
                </c:pt>
                <c:pt idx="44">
                  <c:v>1.3319110027430658</c:v>
                </c:pt>
                <c:pt idx="45">
                  <c:v>1.3319110027430658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A-1B45-9893-11F169804658}"/>
            </c:ext>
          </c:extLst>
        </c:ser>
        <c:ser>
          <c:idx val="1"/>
          <c:order val="1"/>
          <c:tx>
            <c:strRef>
              <c:f>XS_synthetic!$O$15</c:f>
              <c:strCache>
                <c:ptCount val="1"/>
                <c:pt idx="0">
                  <c:v>WS_m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XS_synthetic!$M$16:$M$61</c:f>
              <c:numCache>
                <c:formatCode>0.00</c:formatCode>
                <c:ptCount val="4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</c:numCache>
            </c:numRef>
          </c:xVal>
          <c:yVal>
            <c:numRef>
              <c:f>XS_synthetic!$O$16:$O$61</c:f>
              <c:numCache>
                <c:formatCode>0.00</c:formatCode>
                <c:ptCount val="46"/>
                <c:pt idx="5">
                  <c:v>0.23468454739408673</c:v>
                </c:pt>
                <c:pt idx="6">
                  <c:v>0.24382810118866177</c:v>
                </c:pt>
                <c:pt idx="7">
                  <c:v>0.23773239865894524</c:v>
                </c:pt>
                <c:pt idx="8">
                  <c:v>0.23468454739408703</c:v>
                </c:pt>
                <c:pt idx="9">
                  <c:v>0.23773239865894544</c:v>
                </c:pt>
                <c:pt idx="10">
                  <c:v>0.24078024992380365</c:v>
                </c:pt>
                <c:pt idx="11">
                  <c:v>0.24382810118866152</c:v>
                </c:pt>
                <c:pt idx="12">
                  <c:v>0.23773239865894499</c:v>
                </c:pt>
                <c:pt idx="13">
                  <c:v>0.24687595245352023</c:v>
                </c:pt>
                <c:pt idx="14">
                  <c:v>0.24078024992380348</c:v>
                </c:pt>
                <c:pt idx="15">
                  <c:v>0.23773239865894538</c:v>
                </c:pt>
                <c:pt idx="16">
                  <c:v>0.23773239865894544</c:v>
                </c:pt>
                <c:pt idx="17">
                  <c:v>0.23468454739408681</c:v>
                </c:pt>
                <c:pt idx="18">
                  <c:v>0.2377323986589451</c:v>
                </c:pt>
                <c:pt idx="19">
                  <c:v>0.23773239865894502</c:v>
                </c:pt>
                <c:pt idx="20">
                  <c:v>0.2468759524535202</c:v>
                </c:pt>
                <c:pt idx="21">
                  <c:v>0.24687595245352029</c:v>
                </c:pt>
                <c:pt idx="22">
                  <c:v>0.24687595245352001</c:v>
                </c:pt>
                <c:pt idx="23">
                  <c:v>0.24687595245352001</c:v>
                </c:pt>
                <c:pt idx="24">
                  <c:v>0.25297165498323637</c:v>
                </c:pt>
                <c:pt idx="25">
                  <c:v>0.24992380371837852</c:v>
                </c:pt>
                <c:pt idx="26">
                  <c:v>0.24078024992380345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A-1B45-9893-11F169804658}"/>
            </c:ext>
          </c:extLst>
        </c:ser>
        <c:ser>
          <c:idx val="2"/>
          <c:order val="2"/>
          <c:tx>
            <c:strRef>
              <c:f>XS_synthetic!$P$15</c:f>
              <c:strCache>
                <c:ptCount val="1"/>
                <c:pt idx="0">
                  <c:v>WS_avg_m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XS_synthetic!$M$16:$M$61</c:f>
              <c:numCache>
                <c:formatCode>0.00</c:formatCode>
                <c:ptCount val="4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</c:numCache>
            </c:numRef>
          </c:xVal>
          <c:yVal>
            <c:numRef>
              <c:f>XS_synthetic!$P$16:$P$61</c:f>
              <c:numCache>
                <c:formatCode>0.00</c:formatCode>
                <c:ptCount val="46"/>
                <c:pt idx="0">
                  <c:v>0.24161148208694663</c:v>
                </c:pt>
                <c:pt idx="1">
                  <c:v>0.24161148208694663</c:v>
                </c:pt>
                <c:pt idx="2">
                  <c:v>0.24161148208694663</c:v>
                </c:pt>
                <c:pt idx="3">
                  <c:v>0.24161148208694663</c:v>
                </c:pt>
                <c:pt idx="4">
                  <c:v>0.24161148208694663</c:v>
                </c:pt>
                <c:pt idx="5">
                  <c:v>0.24161148208694663</c:v>
                </c:pt>
                <c:pt idx="6">
                  <c:v>0.24161148208694663</c:v>
                </c:pt>
                <c:pt idx="7">
                  <c:v>0.24161148208694663</c:v>
                </c:pt>
                <c:pt idx="8">
                  <c:v>0.24161148208694663</c:v>
                </c:pt>
                <c:pt idx="9">
                  <c:v>0.24161148208694663</c:v>
                </c:pt>
                <c:pt idx="10">
                  <c:v>0.24161148208694663</c:v>
                </c:pt>
                <c:pt idx="11">
                  <c:v>0.24161148208694663</c:v>
                </c:pt>
                <c:pt idx="12">
                  <c:v>0.24161148208694663</c:v>
                </c:pt>
                <c:pt idx="13">
                  <c:v>0.24161148208694663</c:v>
                </c:pt>
                <c:pt idx="14">
                  <c:v>0.24161148208694663</c:v>
                </c:pt>
                <c:pt idx="15">
                  <c:v>0.24161148208694663</c:v>
                </c:pt>
                <c:pt idx="16">
                  <c:v>0.24161148208694663</c:v>
                </c:pt>
                <c:pt idx="17">
                  <c:v>0.24161148208694663</c:v>
                </c:pt>
                <c:pt idx="18">
                  <c:v>0.24161148208694663</c:v>
                </c:pt>
                <c:pt idx="19">
                  <c:v>0.24161148208694663</c:v>
                </c:pt>
                <c:pt idx="20">
                  <c:v>0.24161148208694663</c:v>
                </c:pt>
                <c:pt idx="21">
                  <c:v>0.24161148208694663</c:v>
                </c:pt>
                <c:pt idx="22">
                  <c:v>0.24161148208694663</c:v>
                </c:pt>
                <c:pt idx="23">
                  <c:v>0.24161148208694663</c:v>
                </c:pt>
                <c:pt idx="24">
                  <c:v>0.24161148208694663</c:v>
                </c:pt>
                <c:pt idx="25">
                  <c:v>0.24161148208694663</c:v>
                </c:pt>
                <c:pt idx="26">
                  <c:v>0.24161148208694663</c:v>
                </c:pt>
                <c:pt idx="27">
                  <c:v>0.24161148208694663</c:v>
                </c:pt>
                <c:pt idx="28">
                  <c:v>0.24161148208694663</c:v>
                </c:pt>
                <c:pt idx="29">
                  <c:v>0.24161148208694663</c:v>
                </c:pt>
                <c:pt idx="30">
                  <c:v>0.24161148208694663</c:v>
                </c:pt>
                <c:pt idx="31">
                  <c:v>0.24161148208694663</c:v>
                </c:pt>
                <c:pt idx="32">
                  <c:v>0.24161148208694663</c:v>
                </c:pt>
                <c:pt idx="33">
                  <c:v>0.24161148208694663</c:v>
                </c:pt>
                <c:pt idx="34">
                  <c:v>0.24161148208694663</c:v>
                </c:pt>
                <c:pt idx="35">
                  <c:v>0.24161148208694663</c:v>
                </c:pt>
                <c:pt idx="36">
                  <c:v>0.24161148208694663</c:v>
                </c:pt>
                <c:pt idx="37">
                  <c:v>0.24161148208694663</c:v>
                </c:pt>
                <c:pt idx="38">
                  <c:v>0.24161148208694663</c:v>
                </c:pt>
                <c:pt idx="39">
                  <c:v>0.24161148208694663</c:v>
                </c:pt>
                <c:pt idx="40">
                  <c:v>0.24161148208694663</c:v>
                </c:pt>
                <c:pt idx="41">
                  <c:v>0.24161148208694663</c:v>
                </c:pt>
                <c:pt idx="42">
                  <c:v>0.24161148208694663</c:v>
                </c:pt>
                <c:pt idx="43">
                  <c:v>0.24161148208694663</c:v>
                </c:pt>
                <c:pt idx="44">
                  <c:v>0.24161148208694663</c:v>
                </c:pt>
                <c:pt idx="45">
                  <c:v>0.24161148208694663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A-1B45-9893-11F169804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08847"/>
        <c:axId val="1419811967"/>
      </c:scatterChart>
      <c:valAx>
        <c:axId val="141980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lateral station, y=0 at BL LOB stake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11967"/>
        <c:crosses val="autoZero"/>
        <c:crossBetween val="midCat"/>
      </c:valAx>
      <c:valAx>
        <c:axId val="14198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elevation, z=0 at TW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0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14</xdr:row>
      <xdr:rowOff>127000</xdr:rowOff>
    </xdr:from>
    <xdr:to>
      <xdr:col>33</xdr:col>
      <xdr:colOff>488950</xdr:colOff>
      <xdr:row>41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35C76-57C7-F54F-9F38-13162C455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5"/>
  <sheetViews>
    <sheetView tabSelected="1" workbookViewId="0">
      <selection activeCell="E12" sqref="E12"/>
    </sheetView>
  </sheetViews>
  <sheetFormatPr baseColWidth="10" defaultColWidth="12.796875" defaultRowHeight="15.75" customHeight="1" x14ac:dyDescent="0.2"/>
  <cols>
    <col min="1" max="1" width="15.3984375" style="4" customWidth="1"/>
    <col min="2" max="16384" width="12.796875" style="4"/>
  </cols>
  <sheetData>
    <row r="1" spans="1:23" ht="15.75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</row>
    <row r="2" spans="1:23" ht="15.75" customHeight="1" x14ac:dyDescent="0.2">
      <c r="A2" s="17">
        <v>45330.666666666664</v>
      </c>
      <c r="B2" s="18">
        <v>1</v>
      </c>
      <c r="C2" s="18">
        <v>61</v>
      </c>
      <c r="D2" s="18">
        <v>53</v>
      </c>
      <c r="E2" s="18">
        <f t="shared" ref="E2:E15" si="0">(F2+G2)/2-H2</f>
        <v>12</v>
      </c>
      <c r="F2" s="18">
        <v>16</v>
      </c>
      <c r="G2" s="18">
        <v>18</v>
      </c>
      <c r="H2" s="18">
        <v>5</v>
      </c>
      <c r="K2" s="18"/>
      <c r="L2" s="18" t="s">
        <v>23</v>
      </c>
      <c r="M2" s="18" t="s">
        <v>24</v>
      </c>
      <c r="N2" s="18">
        <v>16</v>
      </c>
      <c r="O2" s="18">
        <v>16</v>
      </c>
    </row>
    <row r="3" spans="1:23" ht="15.75" customHeight="1" x14ac:dyDescent="0.2">
      <c r="A3" s="17">
        <v>45333.502083333333</v>
      </c>
      <c r="B3" s="18">
        <v>1</v>
      </c>
      <c r="C3" s="18">
        <v>55</v>
      </c>
      <c r="D3" s="18">
        <v>54</v>
      </c>
      <c r="E3" s="18">
        <f t="shared" si="0"/>
        <v>10.75</v>
      </c>
      <c r="F3" s="18">
        <v>23.5</v>
      </c>
      <c r="G3" s="18">
        <v>25</v>
      </c>
      <c r="H3" s="18">
        <v>13.5</v>
      </c>
      <c r="I3" s="21">
        <v>0.46700000000000003</v>
      </c>
      <c r="J3" s="21">
        <v>0.628</v>
      </c>
      <c r="K3" s="18">
        <f t="shared" ref="K3:K6" si="1">(J3^2)/(I3^2)</f>
        <v>1.8083626409401665</v>
      </c>
      <c r="L3" s="18" t="s">
        <v>23</v>
      </c>
      <c r="M3" s="18" t="s">
        <v>25</v>
      </c>
      <c r="N3" s="18">
        <f>(23+24)/2</f>
        <v>23.5</v>
      </c>
      <c r="O3" s="18">
        <v>24</v>
      </c>
      <c r="P3" s="18">
        <v>62</v>
      </c>
      <c r="Q3" s="18">
        <v>40.299999999999997</v>
      </c>
      <c r="R3" s="18">
        <v>84</v>
      </c>
      <c r="S3" s="18">
        <v>40.4</v>
      </c>
    </row>
    <row r="4" spans="1:23" ht="15.75" customHeight="1" x14ac:dyDescent="0.2">
      <c r="A4" s="17">
        <v>45335.65347222222</v>
      </c>
      <c r="B4" s="18">
        <v>1</v>
      </c>
      <c r="C4" s="18">
        <v>75</v>
      </c>
      <c r="D4" s="18">
        <v>60</v>
      </c>
      <c r="E4" s="18">
        <f t="shared" si="0"/>
        <v>4.5</v>
      </c>
      <c r="F4" s="18">
        <v>48</v>
      </c>
      <c r="G4" s="18">
        <v>51</v>
      </c>
      <c r="H4" s="18">
        <v>45</v>
      </c>
      <c r="I4" s="21">
        <v>0.92</v>
      </c>
      <c r="J4" s="21">
        <v>0.94399999999999995</v>
      </c>
      <c r="K4" s="18">
        <f t="shared" si="1"/>
        <v>1.0528544423440451</v>
      </c>
      <c r="L4" s="18" t="s">
        <v>26</v>
      </c>
      <c r="M4" s="18" t="s">
        <v>27</v>
      </c>
      <c r="N4" s="18">
        <f>(47+48)/2</f>
        <v>47.5</v>
      </c>
      <c r="O4" s="18">
        <v>48</v>
      </c>
      <c r="P4" s="18">
        <v>123</v>
      </c>
      <c r="Q4" s="18">
        <v>40.200000000000003</v>
      </c>
      <c r="R4" s="18">
        <v>126</v>
      </c>
      <c r="S4" s="18">
        <v>40.1</v>
      </c>
      <c r="T4" s="18">
        <v>1.6</v>
      </c>
      <c r="U4" s="18">
        <v>1.6</v>
      </c>
      <c r="V4" s="18">
        <f t="shared" ref="V4:V6" si="2">F4/2.54/12</f>
        <v>1.5748031496062991</v>
      </c>
      <c r="W4" s="18">
        <f t="shared" ref="W4:W6" si="3">H4/2.54/12</f>
        <v>1.4763779527559056</v>
      </c>
    </row>
    <row r="5" spans="1:23" ht="15.75" customHeight="1" x14ac:dyDescent="0.2">
      <c r="A5" s="17">
        <v>45340.98333333333</v>
      </c>
      <c r="B5" s="18">
        <v>1</v>
      </c>
      <c r="C5" s="18">
        <v>125</v>
      </c>
      <c r="D5" s="18">
        <v>59</v>
      </c>
      <c r="E5" s="18">
        <f t="shared" si="0"/>
        <v>5.5</v>
      </c>
      <c r="F5" s="18">
        <v>20</v>
      </c>
      <c r="G5" s="18">
        <v>23</v>
      </c>
      <c r="H5" s="18">
        <v>16</v>
      </c>
      <c r="I5" s="21">
        <v>0.30299999999999999</v>
      </c>
      <c r="J5" s="21">
        <v>0.39100000000000001</v>
      </c>
      <c r="K5" s="18">
        <f t="shared" si="1"/>
        <v>1.6652071147708831</v>
      </c>
      <c r="L5" s="18" t="s">
        <v>26</v>
      </c>
      <c r="M5" s="18" t="s">
        <v>28</v>
      </c>
      <c r="N5" s="18">
        <f>(20+21)/2</f>
        <v>20.5</v>
      </c>
      <c r="O5" s="18">
        <v>22</v>
      </c>
      <c r="P5" s="18">
        <v>40</v>
      </c>
      <c r="Q5" s="18">
        <v>40.5</v>
      </c>
      <c r="R5" s="18">
        <v>52</v>
      </c>
      <c r="S5" s="18">
        <v>40.5</v>
      </c>
      <c r="T5" s="18">
        <v>0.6</v>
      </c>
      <c r="U5" s="18">
        <v>0.55000000000000004</v>
      </c>
      <c r="V5" s="18">
        <f t="shared" si="2"/>
        <v>0.65616797900262469</v>
      </c>
      <c r="W5" s="18">
        <f t="shared" si="3"/>
        <v>0.52493438320209973</v>
      </c>
    </row>
    <row r="6" spans="1:23" ht="15.75" customHeight="1" x14ac:dyDescent="0.2">
      <c r="A6" s="17">
        <v>45344.365972222222</v>
      </c>
      <c r="B6" s="18">
        <v>2</v>
      </c>
      <c r="C6" s="18">
        <v>58</v>
      </c>
      <c r="D6" s="18">
        <v>48</v>
      </c>
      <c r="E6" s="18">
        <f t="shared" si="0"/>
        <v>13</v>
      </c>
      <c r="F6" s="18">
        <v>17</v>
      </c>
      <c r="G6" s="18">
        <v>19</v>
      </c>
      <c r="H6" s="18">
        <v>5</v>
      </c>
      <c r="I6" s="21">
        <v>0.28100000000000003</v>
      </c>
      <c r="J6" s="21">
        <v>0.3</v>
      </c>
      <c r="K6" s="18">
        <f t="shared" si="1"/>
        <v>1.1398031939818389</v>
      </c>
      <c r="L6" s="18" t="s">
        <v>23</v>
      </c>
      <c r="M6" s="18" t="s">
        <v>29</v>
      </c>
      <c r="N6" s="18">
        <f>(16+17)/2</f>
        <v>16.5</v>
      </c>
      <c r="O6" s="18">
        <v>17</v>
      </c>
      <c r="P6" s="18">
        <v>37</v>
      </c>
      <c r="Q6" s="18">
        <v>40.4</v>
      </c>
      <c r="R6" s="18">
        <v>40</v>
      </c>
      <c r="S6" s="18">
        <v>40.9</v>
      </c>
      <c r="T6" s="18">
        <v>0.5</v>
      </c>
      <c r="U6" s="18">
        <v>0.2</v>
      </c>
      <c r="V6" s="18">
        <f t="shared" si="2"/>
        <v>0.55774278215223094</v>
      </c>
      <c r="W6" s="18">
        <f t="shared" si="3"/>
        <v>0.16404199475065617</v>
      </c>
    </row>
    <row r="7" spans="1:23" ht="15.75" customHeight="1" x14ac:dyDescent="0.2">
      <c r="A7" s="17">
        <v>45348.727083333331</v>
      </c>
      <c r="B7" s="18">
        <v>2</v>
      </c>
      <c r="C7" s="18">
        <v>54</v>
      </c>
      <c r="D7" s="18">
        <v>51</v>
      </c>
      <c r="E7" s="18">
        <f t="shared" si="0"/>
        <v>10</v>
      </c>
      <c r="F7" s="18">
        <v>15</v>
      </c>
      <c r="G7" s="18">
        <v>15</v>
      </c>
      <c r="H7" s="18">
        <v>5</v>
      </c>
      <c r="I7" s="22"/>
      <c r="J7" s="22"/>
      <c r="L7" s="18" t="s">
        <v>23</v>
      </c>
      <c r="M7" s="18" t="s">
        <v>30</v>
      </c>
      <c r="N7" s="18">
        <v>15</v>
      </c>
      <c r="O7" s="18">
        <v>15</v>
      </c>
    </row>
    <row r="8" spans="1:23" ht="15.75" customHeight="1" x14ac:dyDescent="0.2">
      <c r="A8" s="17">
        <v>45350.48541666667</v>
      </c>
      <c r="B8" s="18">
        <v>2</v>
      </c>
      <c r="C8" s="18">
        <v>65</v>
      </c>
      <c r="D8" s="18">
        <v>54</v>
      </c>
      <c r="E8" s="18">
        <f t="shared" si="0"/>
        <v>11.5</v>
      </c>
      <c r="F8" s="18">
        <v>16</v>
      </c>
      <c r="G8" s="18">
        <v>17</v>
      </c>
      <c r="H8" s="18">
        <v>5</v>
      </c>
      <c r="I8" s="21">
        <v>0.183</v>
      </c>
      <c r="J8" s="21">
        <v>0.23899999999999999</v>
      </c>
      <c r="K8" s="18">
        <f t="shared" ref="K8:K14" si="4">(J8^2)/(I8^2)</f>
        <v>1.7056645465675297</v>
      </c>
      <c r="L8" s="18" t="s">
        <v>23</v>
      </c>
      <c r="M8" s="18" t="s">
        <v>31</v>
      </c>
      <c r="N8" s="18">
        <v>15</v>
      </c>
      <c r="O8" s="18">
        <v>15</v>
      </c>
      <c r="P8" s="18">
        <v>24</v>
      </c>
      <c r="Q8" s="18">
        <v>41</v>
      </c>
      <c r="R8" s="18">
        <v>31</v>
      </c>
      <c r="S8" s="18">
        <v>40</v>
      </c>
      <c r="T8" s="18">
        <v>0.45</v>
      </c>
      <c r="U8" s="18">
        <v>0.15</v>
      </c>
      <c r="V8" s="18">
        <f t="shared" ref="V8:V15" si="5">F8/2.54/12</f>
        <v>0.52493438320209973</v>
      </c>
      <c r="W8" s="18">
        <f t="shared" ref="W8:W15" si="6">H8/2.54/12</f>
        <v>0.16404199475065617</v>
      </c>
    </row>
    <row r="9" spans="1:23" ht="15.75" customHeight="1" x14ac:dyDescent="0.2">
      <c r="A9" s="17">
        <v>45351.661805555559</v>
      </c>
      <c r="B9" s="18">
        <v>2</v>
      </c>
      <c r="C9" s="18">
        <v>68</v>
      </c>
      <c r="D9" s="18">
        <v>54</v>
      </c>
      <c r="E9" s="18">
        <f t="shared" si="0"/>
        <v>12.5</v>
      </c>
      <c r="F9" s="18">
        <v>25</v>
      </c>
      <c r="G9" s="18">
        <v>28</v>
      </c>
      <c r="H9" s="18">
        <v>14</v>
      </c>
      <c r="I9" s="21">
        <v>0.48</v>
      </c>
      <c r="J9" s="21">
        <v>0.60099999999999998</v>
      </c>
      <c r="K9" s="18">
        <f t="shared" si="4"/>
        <v>1.5677126736111111</v>
      </c>
      <c r="L9" s="18" t="s">
        <v>23</v>
      </c>
      <c r="M9" s="18" t="s">
        <v>32</v>
      </c>
      <c r="N9" s="18">
        <v>25.5</v>
      </c>
      <c r="O9" s="18">
        <v>26</v>
      </c>
      <c r="P9" s="18">
        <v>64</v>
      </c>
      <c r="Q9" s="18">
        <v>40.4</v>
      </c>
      <c r="R9" s="18">
        <v>80</v>
      </c>
      <c r="S9" s="18">
        <v>40.200000000000003</v>
      </c>
      <c r="T9" s="18">
        <v>0.8</v>
      </c>
      <c r="U9" s="18">
        <v>0.45</v>
      </c>
      <c r="V9" s="18">
        <f t="shared" si="5"/>
        <v>0.82020997375328086</v>
      </c>
      <c r="W9" s="18">
        <f t="shared" si="6"/>
        <v>0.45931758530183725</v>
      </c>
    </row>
    <row r="10" spans="1:23" ht="15.75" customHeight="1" x14ac:dyDescent="0.2">
      <c r="A10" s="17">
        <v>45353.611111111109</v>
      </c>
      <c r="B10" s="18">
        <v>2</v>
      </c>
      <c r="C10" s="18">
        <v>67</v>
      </c>
      <c r="D10" s="18">
        <v>57</v>
      </c>
      <c r="E10" s="18">
        <f t="shared" si="0"/>
        <v>13</v>
      </c>
      <c r="F10" s="18">
        <v>23</v>
      </c>
      <c r="G10" s="18">
        <v>27</v>
      </c>
      <c r="H10" s="18">
        <v>12</v>
      </c>
      <c r="I10" s="21">
        <v>0.47399999999999998</v>
      </c>
      <c r="J10" s="21">
        <v>0.55200000000000005</v>
      </c>
      <c r="K10" s="18">
        <f t="shared" si="4"/>
        <v>1.3561929178016345</v>
      </c>
      <c r="L10" s="18" t="s">
        <v>23</v>
      </c>
      <c r="M10" s="18" t="s">
        <v>33</v>
      </c>
      <c r="N10" s="18">
        <v>23</v>
      </c>
      <c r="O10" s="18">
        <v>23</v>
      </c>
      <c r="P10" s="18">
        <v>63</v>
      </c>
      <c r="Q10" s="18">
        <v>40.299999999999997</v>
      </c>
      <c r="R10" s="18">
        <v>73</v>
      </c>
      <c r="S10" s="18">
        <v>40</v>
      </c>
      <c r="T10" s="18">
        <v>0.8</v>
      </c>
      <c r="U10" s="18">
        <v>0.4</v>
      </c>
      <c r="V10" s="18">
        <f t="shared" si="5"/>
        <v>0.75459317585301833</v>
      </c>
      <c r="W10" s="18">
        <f t="shared" si="6"/>
        <v>0.39370078740157477</v>
      </c>
    </row>
    <row r="11" spans="1:23" ht="15.75" customHeight="1" x14ac:dyDescent="0.2">
      <c r="A11" s="17">
        <v>45359.576388888891</v>
      </c>
      <c r="B11" s="18">
        <v>2</v>
      </c>
      <c r="C11" s="18">
        <v>68</v>
      </c>
      <c r="D11" s="18">
        <v>54</v>
      </c>
      <c r="E11" s="18">
        <f t="shared" si="0"/>
        <v>12</v>
      </c>
      <c r="F11" s="18">
        <v>23</v>
      </c>
      <c r="G11" s="18">
        <v>25</v>
      </c>
      <c r="H11" s="18">
        <v>12</v>
      </c>
      <c r="I11" s="21">
        <v>0.434</v>
      </c>
      <c r="J11" s="21">
        <v>0.53100000000000003</v>
      </c>
      <c r="K11" s="18">
        <f t="shared" si="4"/>
        <v>1.4969578882541572</v>
      </c>
      <c r="L11" s="18" t="s">
        <v>23</v>
      </c>
      <c r="M11" s="18" t="s">
        <v>67</v>
      </c>
      <c r="N11" s="18">
        <v>22</v>
      </c>
      <c r="O11" s="18">
        <v>22</v>
      </c>
      <c r="P11" s="18">
        <v>58</v>
      </c>
      <c r="Q11" s="18">
        <v>40.700000000000003</v>
      </c>
      <c r="R11" s="18">
        <v>71</v>
      </c>
      <c r="S11" s="18">
        <v>40.5</v>
      </c>
      <c r="T11" s="18">
        <v>0.75</v>
      </c>
      <c r="U11" s="18">
        <v>0.4</v>
      </c>
      <c r="V11" s="18">
        <f t="shared" si="5"/>
        <v>0.75459317585301833</v>
      </c>
      <c r="W11" s="18">
        <f t="shared" si="6"/>
        <v>0.39370078740157477</v>
      </c>
    </row>
    <row r="12" spans="1:23" ht="15.75" customHeight="1" x14ac:dyDescent="0.2">
      <c r="A12" s="17">
        <v>45363.53125</v>
      </c>
      <c r="B12" s="18">
        <v>2</v>
      </c>
      <c r="C12" s="18">
        <v>74</v>
      </c>
      <c r="D12" s="18">
        <v>58</v>
      </c>
      <c r="E12" s="18">
        <f t="shared" si="0"/>
        <v>12.5</v>
      </c>
      <c r="F12" s="18">
        <v>23</v>
      </c>
      <c r="G12" s="18">
        <v>26</v>
      </c>
      <c r="H12" s="18">
        <v>12</v>
      </c>
      <c r="I12" s="21">
        <v>0.47</v>
      </c>
      <c r="J12" s="21">
        <v>0.58599999999999997</v>
      </c>
      <c r="K12" s="18">
        <f t="shared" si="4"/>
        <v>1.5545314622000905</v>
      </c>
      <c r="L12" s="18" t="s">
        <v>23</v>
      </c>
      <c r="M12" s="18" t="s">
        <v>68</v>
      </c>
      <c r="N12" s="18">
        <v>22.5</v>
      </c>
      <c r="O12" s="18">
        <v>22.5</v>
      </c>
      <c r="P12" s="18">
        <v>52</v>
      </c>
      <c r="Q12" s="18">
        <v>40</v>
      </c>
      <c r="R12" s="18">
        <v>78</v>
      </c>
      <c r="S12" s="18">
        <v>40.200000000000003</v>
      </c>
      <c r="T12" s="18">
        <v>0.75</v>
      </c>
      <c r="U12" s="18">
        <v>0.4</v>
      </c>
      <c r="V12" s="18">
        <f t="shared" si="5"/>
        <v>0.75459317585301833</v>
      </c>
      <c r="W12" s="18">
        <f t="shared" si="6"/>
        <v>0.39370078740157477</v>
      </c>
    </row>
    <row r="13" spans="1:23" ht="15.75" customHeight="1" x14ac:dyDescent="0.2">
      <c r="A13" s="17">
        <v>45363.538194444445</v>
      </c>
      <c r="B13" s="18">
        <v>3</v>
      </c>
      <c r="C13" s="18">
        <v>64</v>
      </c>
      <c r="D13" s="18">
        <v>59</v>
      </c>
      <c r="E13" s="18">
        <f t="shared" si="0"/>
        <v>12</v>
      </c>
      <c r="F13" s="18">
        <v>23</v>
      </c>
      <c r="G13" s="18">
        <v>27</v>
      </c>
      <c r="H13" s="18">
        <v>13</v>
      </c>
      <c r="I13" s="21">
        <v>0.41899999999999998</v>
      </c>
      <c r="J13" s="21">
        <v>0.53700000000000003</v>
      </c>
      <c r="K13" s="18">
        <f t="shared" si="4"/>
        <v>1.6425572877803161</v>
      </c>
      <c r="L13" s="18" t="s">
        <v>23</v>
      </c>
      <c r="N13" s="18">
        <v>22.5</v>
      </c>
      <c r="O13" s="18">
        <v>22.5</v>
      </c>
      <c r="P13" s="18">
        <v>56</v>
      </c>
      <c r="Q13" s="18">
        <v>40.6</v>
      </c>
      <c r="R13" s="18">
        <v>71</v>
      </c>
      <c r="S13" s="18">
        <v>40</v>
      </c>
      <c r="T13" s="18">
        <v>0.75</v>
      </c>
      <c r="U13" s="18">
        <v>0.4</v>
      </c>
      <c r="V13" s="18">
        <f t="shared" si="5"/>
        <v>0.75459317585301833</v>
      </c>
      <c r="W13" s="18">
        <f t="shared" si="6"/>
        <v>0.42650918635170604</v>
      </c>
    </row>
    <row r="14" spans="1:23" ht="15.75" customHeight="1" x14ac:dyDescent="0.2">
      <c r="A14" s="17">
        <v>45377.666666666664</v>
      </c>
      <c r="B14" s="18">
        <v>3</v>
      </c>
      <c r="C14" s="18">
        <v>60</v>
      </c>
      <c r="D14" s="18">
        <v>64</v>
      </c>
      <c r="E14" s="18">
        <f t="shared" si="0"/>
        <v>10.5</v>
      </c>
      <c r="F14" s="18">
        <v>18</v>
      </c>
      <c r="G14" s="18">
        <v>20</v>
      </c>
      <c r="H14" s="18">
        <v>8.5</v>
      </c>
      <c r="I14" s="21">
        <v>0.34399999999999997</v>
      </c>
      <c r="J14" s="21">
        <v>0.4</v>
      </c>
      <c r="K14" s="18">
        <f t="shared" si="4"/>
        <v>1.3520822065981617</v>
      </c>
      <c r="L14" s="18" t="s">
        <v>23</v>
      </c>
      <c r="M14" s="18" t="s">
        <v>69</v>
      </c>
      <c r="N14" s="18">
        <v>18.05</v>
      </c>
      <c r="O14" s="18">
        <v>18.05</v>
      </c>
      <c r="P14" s="18">
        <v>45</v>
      </c>
      <c r="Q14" s="18">
        <v>40</v>
      </c>
      <c r="R14" s="18">
        <v>53</v>
      </c>
      <c r="S14" s="18">
        <v>40.299999999999997</v>
      </c>
      <c r="T14" s="18">
        <v>0.6</v>
      </c>
      <c r="U14" s="18">
        <v>0.3</v>
      </c>
      <c r="V14" s="18">
        <f t="shared" si="5"/>
        <v>0.59055118110236215</v>
      </c>
      <c r="W14" s="18">
        <f t="shared" si="6"/>
        <v>0.27887139107611547</v>
      </c>
    </row>
    <row r="15" spans="1:23" ht="15.75" customHeight="1" x14ac:dyDescent="0.2">
      <c r="A15" s="17">
        <v>45392.40625</v>
      </c>
      <c r="B15" s="18">
        <v>3</v>
      </c>
      <c r="C15" s="18">
        <v>60</v>
      </c>
      <c r="D15" s="18">
        <v>64</v>
      </c>
      <c r="E15" s="18">
        <f t="shared" si="0"/>
        <v>11</v>
      </c>
      <c r="F15" s="18">
        <v>16</v>
      </c>
      <c r="G15" s="18">
        <v>20</v>
      </c>
      <c r="H15" s="18">
        <v>7</v>
      </c>
      <c r="L15" s="18" t="s">
        <v>23</v>
      </c>
      <c r="M15" s="18" t="s">
        <v>70</v>
      </c>
      <c r="N15" s="18">
        <v>15.88</v>
      </c>
      <c r="O15" s="18">
        <v>15.88</v>
      </c>
      <c r="V15" s="18">
        <f t="shared" si="5"/>
        <v>0.52493438320209973</v>
      </c>
      <c r="W15" s="18">
        <f t="shared" si="6"/>
        <v>0.22965879265091863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F26B-0DC5-F344-8E68-4DF6E5C5F16F}">
  <dimension ref="A1:AF75"/>
  <sheetViews>
    <sheetView topLeftCell="E3" workbookViewId="0">
      <selection activeCell="Q12" sqref="Q12"/>
    </sheetView>
  </sheetViews>
  <sheetFormatPr baseColWidth="10" defaultRowHeight="14" x14ac:dyDescent="0.2"/>
  <cols>
    <col min="1" max="16384" width="11" style="4"/>
  </cols>
  <sheetData>
    <row r="1" spans="1:32" ht="16" x14ac:dyDescent="0.2">
      <c r="A1" s="2"/>
      <c r="B1" s="2"/>
      <c r="C1" s="3" t="s">
        <v>34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6" x14ac:dyDescent="0.2">
      <c r="A2" s="3" t="s">
        <v>35</v>
      </c>
      <c r="B2" s="5">
        <v>45355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6" x14ac:dyDescent="0.2">
      <c r="A3" s="3" t="s">
        <v>36</v>
      </c>
      <c r="B3" s="2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6" x14ac:dyDescent="0.2">
      <c r="A4" s="3" t="s">
        <v>38</v>
      </c>
      <c r="B4" s="2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6" x14ac:dyDescent="0.2">
      <c r="A5" s="3" t="s">
        <v>40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6" x14ac:dyDescent="0.2">
      <c r="A6" s="3" t="s">
        <v>41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6" x14ac:dyDescent="0.2">
      <c r="A7" s="3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6" x14ac:dyDescent="0.2">
      <c r="A8" s="3" t="s">
        <v>43</v>
      </c>
      <c r="B8" s="2"/>
      <c r="C8" s="2" t="s">
        <v>44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6" x14ac:dyDescent="0.2">
      <c r="A9" s="3" t="s">
        <v>45</v>
      </c>
      <c r="B9" s="2">
        <v>0</v>
      </c>
      <c r="C9" s="2" t="s">
        <v>46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6" x14ac:dyDescent="0.2">
      <c r="A10" s="3" t="s">
        <v>47</v>
      </c>
      <c r="B10" s="2">
        <v>260</v>
      </c>
      <c r="C10" s="2" t="s">
        <v>48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6" x14ac:dyDescent="0.2">
      <c r="A11" s="3" t="s">
        <v>34</v>
      </c>
      <c r="B11" s="2" t="s">
        <v>49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6"/>
      <c r="Q13" s="6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  <c r="Q14" s="6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6" x14ac:dyDescent="0.2">
      <c r="A15" s="3" t="s">
        <v>50</v>
      </c>
      <c r="B15" s="3" t="s">
        <v>51</v>
      </c>
      <c r="C15" s="3" t="s">
        <v>52</v>
      </c>
      <c r="D15" s="3" t="s">
        <v>34</v>
      </c>
      <c r="E15" s="2"/>
      <c r="F15" s="2"/>
      <c r="G15" s="2"/>
      <c r="H15" s="3" t="s">
        <v>53</v>
      </c>
      <c r="I15" s="3" t="s">
        <v>54</v>
      </c>
      <c r="J15" s="3" t="s">
        <v>55</v>
      </c>
      <c r="K15" s="3"/>
      <c r="L15" s="2"/>
      <c r="M15" s="3" t="s">
        <v>56</v>
      </c>
      <c r="N15" s="3" t="s">
        <v>57</v>
      </c>
      <c r="O15" s="3" t="s">
        <v>58</v>
      </c>
      <c r="P15" s="3" t="s">
        <v>59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6" x14ac:dyDescent="0.2">
      <c r="A16" s="2">
        <v>0</v>
      </c>
      <c r="B16" s="7"/>
      <c r="C16" s="7">
        <v>3.33</v>
      </c>
      <c r="D16" s="8" t="s">
        <v>60</v>
      </c>
      <c r="E16" s="2"/>
      <c r="F16" s="2"/>
      <c r="G16" s="2"/>
      <c r="H16" s="2">
        <f>MIN(A16:A61)</f>
        <v>0</v>
      </c>
      <c r="I16" s="6">
        <f>MAX(B16:C61)</f>
        <v>8.9499999999999993</v>
      </c>
      <c r="J16" s="6">
        <f>AVERAGE(O21:O42)</f>
        <v>0.24161148208694663</v>
      </c>
      <c r="K16" s="6"/>
      <c r="L16" s="2"/>
      <c r="M16" s="6">
        <f>(A16-$H$16)/100</f>
        <v>0</v>
      </c>
      <c r="N16" s="7">
        <f>($I$16-C16)/3.281</f>
        <v>1.7128924108503503</v>
      </c>
      <c r="O16" s="9"/>
      <c r="P16" s="9">
        <f>$J$16</f>
        <v>0.24161148208694663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6" x14ac:dyDescent="0.2">
      <c r="A17" s="2">
        <f>A16+20</f>
        <v>20</v>
      </c>
      <c r="B17" s="7"/>
      <c r="C17" s="7">
        <v>3.38</v>
      </c>
      <c r="D17" s="8"/>
      <c r="E17" s="2"/>
      <c r="F17" s="2"/>
      <c r="G17" s="2"/>
      <c r="H17" s="2"/>
      <c r="I17" s="2"/>
      <c r="J17" s="2"/>
      <c r="K17" s="2"/>
      <c r="L17" s="2"/>
      <c r="M17" s="6">
        <f t="shared" ref="M17:M61" si="0">(A17-$H$16)/100</f>
        <v>0.2</v>
      </c>
      <c r="N17" s="7">
        <f t="shared" ref="N17:N61" si="1">($I$16-C17)/3.281</f>
        <v>1.6976531545260589</v>
      </c>
      <c r="O17" s="9"/>
      <c r="P17" s="9">
        <f t="shared" ref="P17:P61" si="2">$J$16</f>
        <v>0.24161148208694663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6" x14ac:dyDescent="0.2">
      <c r="A18" s="2">
        <f t="shared" ref="A18:A61" si="3">A17+20</f>
        <v>40</v>
      </c>
      <c r="B18" s="7"/>
      <c r="C18" s="7">
        <v>3.53</v>
      </c>
      <c r="D18" s="8"/>
      <c r="E18" s="2"/>
      <c r="F18" s="2"/>
      <c r="G18" s="2"/>
      <c r="H18" s="2"/>
      <c r="I18" s="2"/>
      <c r="J18" s="2"/>
      <c r="K18" s="2"/>
      <c r="L18" s="2"/>
      <c r="M18" s="6">
        <f t="shared" si="0"/>
        <v>0.4</v>
      </c>
      <c r="N18" s="7">
        <f t="shared" si="1"/>
        <v>1.6519353855531849</v>
      </c>
      <c r="O18" s="9"/>
      <c r="P18" s="9">
        <f t="shared" si="2"/>
        <v>0.24161148208694663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6" x14ac:dyDescent="0.2">
      <c r="A19" s="2">
        <f t="shared" si="3"/>
        <v>60</v>
      </c>
      <c r="B19" s="7"/>
      <c r="C19" s="7">
        <v>3.8</v>
      </c>
      <c r="D19" s="8"/>
      <c r="E19" s="2"/>
      <c r="F19" s="2"/>
      <c r="G19" s="2"/>
      <c r="H19" s="2"/>
      <c r="I19" s="2"/>
      <c r="J19" s="2"/>
      <c r="K19" s="2"/>
      <c r="L19" s="2"/>
      <c r="M19" s="6">
        <f t="shared" si="0"/>
        <v>0.6</v>
      </c>
      <c r="N19" s="7">
        <f t="shared" si="1"/>
        <v>1.5696434014020113</v>
      </c>
      <c r="O19" s="9"/>
      <c r="P19" s="9">
        <f t="shared" si="2"/>
        <v>0.24161148208694663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6" x14ac:dyDescent="0.2">
      <c r="A20" s="2">
        <f t="shared" si="3"/>
        <v>80</v>
      </c>
      <c r="B20" s="7"/>
      <c r="C20" s="7">
        <v>5.08</v>
      </c>
      <c r="D20" s="8"/>
      <c r="E20" s="2"/>
      <c r="F20" s="2"/>
      <c r="G20" s="2"/>
      <c r="H20" s="2"/>
      <c r="I20" s="2"/>
      <c r="J20" s="2"/>
      <c r="K20" s="2"/>
      <c r="L20" s="2"/>
      <c r="M20" s="6">
        <f t="shared" si="0"/>
        <v>0.8</v>
      </c>
      <c r="N20" s="7">
        <f t="shared" si="1"/>
        <v>1.1795184395001521</v>
      </c>
      <c r="O20" s="9"/>
      <c r="P20" s="9">
        <f t="shared" si="2"/>
        <v>0.24161148208694663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6" x14ac:dyDescent="0.2">
      <c r="A21" s="2">
        <f t="shared" si="3"/>
        <v>100</v>
      </c>
      <c r="B21" s="10">
        <v>0.37</v>
      </c>
      <c r="C21" s="10">
        <v>8.5500000000000007</v>
      </c>
      <c r="D21" s="8" t="s">
        <v>61</v>
      </c>
      <c r="E21" s="2"/>
      <c r="F21" s="2"/>
      <c r="G21" s="2"/>
      <c r="H21" s="2"/>
      <c r="I21" s="2"/>
      <c r="J21" s="2"/>
      <c r="K21" s="2"/>
      <c r="L21" s="2"/>
      <c r="M21" s="6">
        <f t="shared" si="0"/>
        <v>1</v>
      </c>
      <c r="N21" s="10">
        <f t="shared" si="1"/>
        <v>0.12191405059433055</v>
      </c>
      <c r="O21" s="11">
        <f>N21+B21/3.281</f>
        <v>0.23468454739408673</v>
      </c>
      <c r="P21" s="11">
        <f t="shared" si="2"/>
        <v>0.24161148208694663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6" x14ac:dyDescent="0.2">
      <c r="A22" s="2">
        <f t="shared" si="3"/>
        <v>120</v>
      </c>
      <c r="B22" s="10">
        <v>0.6</v>
      </c>
      <c r="C22" s="10">
        <v>8.75</v>
      </c>
      <c r="D22" s="8" t="s">
        <v>61</v>
      </c>
      <c r="E22" s="2"/>
      <c r="F22" s="2"/>
      <c r="G22" s="2"/>
      <c r="H22" s="2"/>
      <c r="I22" s="2"/>
      <c r="J22" s="2"/>
      <c r="K22" s="2"/>
      <c r="L22" s="2"/>
      <c r="M22" s="6">
        <f t="shared" si="0"/>
        <v>1.2</v>
      </c>
      <c r="N22" s="10">
        <f t="shared" si="1"/>
        <v>6.0957025297165277E-2</v>
      </c>
      <c r="O22" s="11">
        <f t="shared" ref="O22:O42" si="4">N22+B22/3.281</f>
        <v>0.24382810118866177</v>
      </c>
      <c r="P22" s="11">
        <f t="shared" si="2"/>
        <v>0.24161148208694663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6" x14ac:dyDescent="0.2">
      <c r="A23" s="2">
        <f t="shared" si="3"/>
        <v>140</v>
      </c>
      <c r="B23" s="10">
        <v>0.75</v>
      </c>
      <c r="C23" s="10">
        <v>8.92</v>
      </c>
      <c r="D23" s="8" t="s">
        <v>61</v>
      </c>
      <c r="E23" s="2"/>
      <c r="F23" s="2"/>
      <c r="G23" s="2"/>
      <c r="H23" s="2"/>
      <c r="I23" s="2"/>
      <c r="J23" s="2"/>
      <c r="K23" s="2"/>
      <c r="L23" s="2"/>
      <c r="M23" s="6">
        <f t="shared" si="0"/>
        <v>1.4</v>
      </c>
      <c r="N23" s="10">
        <f t="shared" si="1"/>
        <v>9.1435537945746288E-3</v>
      </c>
      <c r="O23" s="11">
        <f t="shared" si="4"/>
        <v>0.23773239865894524</v>
      </c>
      <c r="P23" s="11">
        <f t="shared" si="2"/>
        <v>0.24161148208694663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6" x14ac:dyDescent="0.2">
      <c r="A24" s="2">
        <f t="shared" si="3"/>
        <v>160</v>
      </c>
      <c r="B24" s="10">
        <v>0.75</v>
      </c>
      <c r="C24" s="10">
        <v>8.93</v>
      </c>
      <c r="D24" s="8" t="s">
        <v>61</v>
      </c>
      <c r="E24" s="2"/>
      <c r="F24" s="2"/>
      <c r="G24" s="2"/>
      <c r="H24" s="2"/>
      <c r="I24" s="2"/>
      <c r="J24" s="2"/>
      <c r="K24" s="2"/>
      <c r="L24" s="2"/>
      <c r="M24" s="6">
        <f t="shared" si="0"/>
        <v>1.6</v>
      </c>
      <c r="N24" s="10">
        <f t="shared" si="1"/>
        <v>6.0957025297164198E-3</v>
      </c>
      <c r="O24" s="11">
        <f t="shared" si="4"/>
        <v>0.23468454739408703</v>
      </c>
      <c r="P24" s="11">
        <f t="shared" si="2"/>
        <v>0.24161148208694663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6" x14ac:dyDescent="0.2">
      <c r="A25" s="12">
        <f t="shared" si="3"/>
        <v>180</v>
      </c>
      <c r="B25" s="12">
        <v>0.78</v>
      </c>
      <c r="C25" s="12">
        <v>8.9499999999999993</v>
      </c>
      <c r="D25" s="8" t="s">
        <v>61</v>
      </c>
      <c r="E25" s="2"/>
      <c r="F25" s="2"/>
      <c r="G25" s="2"/>
      <c r="H25" s="2"/>
      <c r="I25" s="2"/>
      <c r="J25" s="2"/>
      <c r="K25" s="2"/>
      <c r="L25" s="2"/>
      <c r="M25" s="13">
        <f t="shared" si="0"/>
        <v>1.8</v>
      </c>
      <c r="N25" s="12">
        <f t="shared" si="1"/>
        <v>0</v>
      </c>
      <c r="O25" s="13">
        <f t="shared" si="4"/>
        <v>0.23773239865894544</v>
      </c>
      <c r="P25" s="13">
        <f t="shared" si="2"/>
        <v>0.24161148208694663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6" x14ac:dyDescent="0.2">
      <c r="A26" s="2">
        <f t="shared" si="3"/>
        <v>200</v>
      </c>
      <c r="B26" s="10">
        <v>0.7</v>
      </c>
      <c r="C26" s="10">
        <v>8.86</v>
      </c>
      <c r="D26" s="8" t="s">
        <v>61</v>
      </c>
      <c r="E26" s="2"/>
      <c r="F26" s="2"/>
      <c r="G26" s="2"/>
      <c r="H26" s="2"/>
      <c r="I26" s="2"/>
      <c r="J26" s="2"/>
      <c r="K26" s="2"/>
      <c r="L26" s="2"/>
      <c r="M26" s="6">
        <f t="shared" si="0"/>
        <v>2</v>
      </c>
      <c r="N26" s="10">
        <f t="shared" si="1"/>
        <v>2.7430661383724429E-2</v>
      </c>
      <c r="O26" s="11">
        <f t="shared" si="4"/>
        <v>0.24078024992380365</v>
      </c>
      <c r="P26" s="11">
        <f t="shared" si="2"/>
        <v>0.24161148208694663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6" x14ac:dyDescent="0.2">
      <c r="A27" s="2">
        <f t="shared" si="3"/>
        <v>220</v>
      </c>
      <c r="B27" s="10">
        <v>0.73</v>
      </c>
      <c r="C27" s="10">
        <v>8.8800000000000008</v>
      </c>
      <c r="D27" s="14" t="s">
        <v>62</v>
      </c>
      <c r="E27" s="2"/>
      <c r="F27" s="2"/>
      <c r="G27" s="2"/>
      <c r="H27" s="2"/>
      <c r="I27" s="2"/>
      <c r="J27" s="2"/>
      <c r="K27" s="2"/>
      <c r="L27" s="2"/>
      <c r="M27" s="6">
        <f t="shared" si="0"/>
        <v>2.2000000000000002</v>
      </c>
      <c r="N27" s="10">
        <f t="shared" si="1"/>
        <v>2.133495885400747E-2</v>
      </c>
      <c r="O27" s="11">
        <f t="shared" si="4"/>
        <v>0.24382810118866152</v>
      </c>
      <c r="P27" s="11">
        <f t="shared" si="2"/>
        <v>0.24161148208694663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6" x14ac:dyDescent="0.2">
      <c r="A28" s="2">
        <f t="shared" si="3"/>
        <v>240</v>
      </c>
      <c r="B28" s="10">
        <v>0.63</v>
      </c>
      <c r="C28" s="10">
        <v>8.8000000000000007</v>
      </c>
      <c r="D28" s="14"/>
      <c r="E28" s="2"/>
      <c r="F28" s="2"/>
      <c r="G28" s="2"/>
      <c r="H28" s="2"/>
      <c r="I28" s="2"/>
      <c r="J28" s="2"/>
      <c r="K28" s="2"/>
      <c r="L28" s="2"/>
      <c r="M28" s="6">
        <f t="shared" si="0"/>
        <v>2.4</v>
      </c>
      <c r="N28" s="10">
        <f t="shared" si="1"/>
        <v>4.571776897287369E-2</v>
      </c>
      <c r="O28" s="11">
        <f t="shared" si="4"/>
        <v>0.23773239865894499</v>
      </c>
      <c r="P28" s="11">
        <f t="shared" si="2"/>
        <v>0.24161148208694663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6" x14ac:dyDescent="0.2">
      <c r="A29" s="2">
        <f t="shared" si="3"/>
        <v>260</v>
      </c>
      <c r="B29" s="10">
        <v>0.64</v>
      </c>
      <c r="C29" s="10">
        <v>8.7799999999999994</v>
      </c>
      <c r="D29" s="14" t="s">
        <v>63</v>
      </c>
      <c r="E29" s="2"/>
      <c r="F29" s="2"/>
      <c r="G29" s="2"/>
      <c r="H29" s="2"/>
      <c r="I29" s="2"/>
      <c r="J29" s="2"/>
      <c r="K29" s="2"/>
      <c r="L29" s="15"/>
      <c r="M29" s="6">
        <f t="shared" si="0"/>
        <v>2.6</v>
      </c>
      <c r="N29" s="10">
        <f t="shared" si="1"/>
        <v>5.1813471502590649E-2</v>
      </c>
      <c r="O29" s="11">
        <f t="shared" si="4"/>
        <v>0.24687595245352023</v>
      </c>
      <c r="P29" s="11">
        <f t="shared" si="2"/>
        <v>0.24161148208694663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6" x14ac:dyDescent="0.2">
      <c r="A30" s="2">
        <f t="shared" si="3"/>
        <v>280</v>
      </c>
      <c r="B30" s="10">
        <v>0.67</v>
      </c>
      <c r="C30" s="10">
        <v>8.83</v>
      </c>
      <c r="D30" s="14"/>
      <c r="E30" s="2"/>
      <c r="F30" s="2"/>
      <c r="G30" s="2"/>
      <c r="H30" s="2"/>
      <c r="I30" s="2"/>
      <c r="J30" s="2"/>
      <c r="K30" s="2"/>
      <c r="L30" s="2"/>
      <c r="M30" s="6">
        <f t="shared" si="0"/>
        <v>2.8</v>
      </c>
      <c r="N30" s="10">
        <f t="shared" si="1"/>
        <v>3.6574215178299056E-2</v>
      </c>
      <c r="O30" s="11">
        <f t="shared" si="4"/>
        <v>0.24078024992380348</v>
      </c>
      <c r="P30" s="11">
        <f t="shared" si="2"/>
        <v>0.24161148208694663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6" x14ac:dyDescent="0.2">
      <c r="A31" s="2">
        <f t="shared" si="3"/>
        <v>300</v>
      </c>
      <c r="B31" s="10">
        <v>0.69</v>
      </c>
      <c r="C31" s="10">
        <v>8.86</v>
      </c>
      <c r="D31" s="14" t="s">
        <v>64</v>
      </c>
      <c r="E31" s="15"/>
      <c r="F31" s="2"/>
      <c r="G31" s="2"/>
      <c r="H31" s="2"/>
      <c r="I31" s="2"/>
      <c r="J31" s="2"/>
      <c r="K31" s="2"/>
      <c r="L31" s="2"/>
      <c r="M31" s="6">
        <f t="shared" si="0"/>
        <v>3</v>
      </c>
      <c r="N31" s="10">
        <f t="shared" si="1"/>
        <v>2.7430661383724429E-2</v>
      </c>
      <c r="O31" s="11">
        <f t="shared" si="4"/>
        <v>0.23773239865894538</v>
      </c>
      <c r="P31" s="11">
        <f t="shared" si="2"/>
        <v>0.24161148208694663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6" x14ac:dyDescent="0.2">
      <c r="A32" s="2">
        <f t="shared" si="3"/>
        <v>320</v>
      </c>
      <c r="B32" s="10">
        <v>0.7</v>
      </c>
      <c r="C32" s="10">
        <v>8.8699999999999992</v>
      </c>
      <c r="D32" s="14"/>
      <c r="E32" s="2"/>
      <c r="F32" s="2"/>
      <c r="G32" s="2"/>
      <c r="H32" s="2"/>
      <c r="I32" s="2"/>
      <c r="J32" s="2"/>
      <c r="K32" s="2"/>
      <c r="L32" s="2"/>
      <c r="M32" s="6">
        <f t="shared" si="0"/>
        <v>3.2</v>
      </c>
      <c r="N32" s="10">
        <f t="shared" si="1"/>
        <v>2.438281011886622E-2</v>
      </c>
      <c r="O32" s="11">
        <f t="shared" si="4"/>
        <v>0.23773239865894544</v>
      </c>
      <c r="P32" s="11">
        <f t="shared" si="2"/>
        <v>0.24161148208694663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6" x14ac:dyDescent="0.2">
      <c r="A33" s="2">
        <f t="shared" si="3"/>
        <v>340</v>
      </c>
      <c r="B33" s="10">
        <v>0.72</v>
      </c>
      <c r="C33" s="10">
        <v>8.9</v>
      </c>
      <c r="D33" s="14"/>
      <c r="E33" s="2"/>
      <c r="F33" s="2"/>
      <c r="G33" s="2"/>
      <c r="H33" s="2"/>
      <c r="I33" s="2"/>
      <c r="J33" s="2"/>
      <c r="K33" s="2"/>
      <c r="L33" s="2"/>
      <c r="M33" s="6">
        <f t="shared" si="0"/>
        <v>3.4</v>
      </c>
      <c r="N33" s="10">
        <f t="shared" si="1"/>
        <v>1.5239256324291049E-2</v>
      </c>
      <c r="O33" s="11">
        <f t="shared" si="4"/>
        <v>0.23468454739408681</v>
      </c>
      <c r="P33" s="11">
        <f t="shared" si="2"/>
        <v>0.24161148208694663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6" x14ac:dyDescent="0.2">
      <c r="A34" s="2">
        <f t="shared" si="3"/>
        <v>360</v>
      </c>
      <c r="B34" s="10">
        <v>0.73</v>
      </c>
      <c r="C34" s="10">
        <v>8.9</v>
      </c>
      <c r="D34" s="14"/>
      <c r="E34" s="2"/>
      <c r="F34" s="2"/>
      <c r="G34" s="2"/>
      <c r="H34" s="2"/>
      <c r="I34" s="2"/>
      <c r="J34" s="2"/>
      <c r="K34" s="2"/>
      <c r="L34" s="2"/>
      <c r="M34" s="6">
        <f t="shared" si="0"/>
        <v>3.6</v>
      </c>
      <c r="N34" s="10">
        <f t="shared" si="1"/>
        <v>1.5239256324291049E-2</v>
      </c>
      <c r="O34" s="11">
        <f t="shared" si="4"/>
        <v>0.2377323986589451</v>
      </c>
      <c r="P34" s="11">
        <f t="shared" si="2"/>
        <v>0.24161148208694663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6" x14ac:dyDescent="0.2">
      <c r="A35" s="2">
        <f t="shared" si="3"/>
        <v>380</v>
      </c>
      <c r="B35" s="10">
        <v>0.72</v>
      </c>
      <c r="C35" s="10">
        <v>8.89</v>
      </c>
      <c r="D35" s="14"/>
      <c r="E35" s="2"/>
      <c r="F35" s="2"/>
      <c r="G35" s="2"/>
      <c r="H35" s="2"/>
      <c r="I35" s="2"/>
      <c r="J35" s="2"/>
      <c r="K35" s="2"/>
      <c r="L35" s="2"/>
      <c r="M35" s="6">
        <f t="shared" si="0"/>
        <v>3.8</v>
      </c>
      <c r="N35" s="10">
        <f t="shared" si="1"/>
        <v>1.8287107589149258E-2</v>
      </c>
      <c r="O35" s="11">
        <f t="shared" si="4"/>
        <v>0.23773239865894502</v>
      </c>
      <c r="P35" s="11">
        <f t="shared" si="2"/>
        <v>0.24161148208694663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6" x14ac:dyDescent="0.2">
      <c r="A36" s="2">
        <f t="shared" si="3"/>
        <v>400</v>
      </c>
      <c r="B36" s="10">
        <v>0.8</v>
      </c>
      <c r="C36" s="10">
        <v>8.94</v>
      </c>
      <c r="D36" s="14"/>
      <c r="E36" s="2"/>
      <c r="F36" s="2"/>
      <c r="G36" s="2"/>
      <c r="H36" s="2"/>
      <c r="I36" s="2"/>
      <c r="J36" s="2"/>
      <c r="K36" s="2"/>
      <c r="L36" s="2"/>
      <c r="M36" s="6">
        <f t="shared" si="0"/>
        <v>4</v>
      </c>
      <c r="N36" s="10">
        <f t="shared" si="1"/>
        <v>3.0478512648582099E-3</v>
      </c>
      <c r="O36" s="11">
        <f t="shared" si="4"/>
        <v>0.2468759524535202</v>
      </c>
      <c r="P36" s="11">
        <f t="shared" si="2"/>
        <v>0.24161148208694663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6" x14ac:dyDescent="0.2">
      <c r="A37" s="12">
        <f t="shared" si="3"/>
        <v>420</v>
      </c>
      <c r="B37" s="12">
        <v>0.81</v>
      </c>
      <c r="C37" s="12">
        <v>8.9499999999999993</v>
      </c>
      <c r="D37" s="14"/>
      <c r="E37" s="2"/>
      <c r="F37" s="2"/>
      <c r="G37" s="2"/>
      <c r="H37" s="2"/>
      <c r="I37" s="2"/>
      <c r="J37" s="2"/>
      <c r="K37" s="2"/>
      <c r="L37" s="2"/>
      <c r="M37" s="13">
        <f t="shared" si="0"/>
        <v>4.2</v>
      </c>
      <c r="N37" s="12">
        <f t="shared" si="1"/>
        <v>0</v>
      </c>
      <c r="O37" s="13">
        <f t="shared" si="4"/>
        <v>0.24687595245352029</v>
      </c>
      <c r="P37" s="13">
        <f t="shared" si="2"/>
        <v>0.24161148208694663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6" x14ac:dyDescent="0.2">
      <c r="A38" s="2">
        <f t="shared" si="3"/>
        <v>440</v>
      </c>
      <c r="B38" s="10">
        <v>0.77</v>
      </c>
      <c r="C38" s="10">
        <v>8.91</v>
      </c>
      <c r="D38" s="14" t="s">
        <v>65</v>
      </c>
      <c r="E38" s="2"/>
      <c r="F38" s="2"/>
      <c r="G38" s="2"/>
      <c r="H38" s="2"/>
      <c r="I38" s="2"/>
      <c r="J38" s="2"/>
      <c r="K38" s="2"/>
      <c r="L38" s="2"/>
      <c r="M38" s="6">
        <f t="shared" si="0"/>
        <v>4.4000000000000004</v>
      </c>
      <c r="N38" s="10">
        <f t="shared" si="1"/>
        <v>1.219140505943284E-2</v>
      </c>
      <c r="O38" s="11">
        <f t="shared" si="4"/>
        <v>0.24687595245352001</v>
      </c>
      <c r="P38" s="11">
        <f t="shared" si="2"/>
        <v>0.24161148208694663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6" x14ac:dyDescent="0.2">
      <c r="A39" s="2">
        <f t="shared" si="3"/>
        <v>460</v>
      </c>
      <c r="B39" s="10">
        <v>0.61</v>
      </c>
      <c r="C39" s="10">
        <v>8.75</v>
      </c>
      <c r="D39" s="14"/>
      <c r="E39" s="2"/>
      <c r="F39" s="2"/>
      <c r="G39" s="2"/>
      <c r="H39" s="2"/>
      <c r="I39" s="2"/>
      <c r="J39" s="2"/>
      <c r="K39" s="2"/>
      <c r="L39" s="2"/>
      <c r="M39" s="6">
        <f t="shared" si="0"/>
        <v>4.5999999999999996</v>
      </c>
      <c r="N39" s="10">
        <f t="shared" si="1"/>
        <v>6.0957025297165277E-2</v>
      </c>
      <c r="O39" s="11">
        <f t="shared" si="4"/>
        <v>0.24687595245352001</v>
      </c>
      <c r="P39" s="11">
        <f t="shared" si="2"/>
        <v>0.24161148208694663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6" x14ac:dyDescent="0.2">
      <c r="A40" s="2">
        <f t="shared" si="3"/>
        <v>480</v>
      </c>
      <c r="B40" s="10">
        <v>0.51</v>
      </c>
      <c r="C40" s="10">
        <v>8.6300000000000008</v>
      </c>
      <c r="D40" s="14"/>
      <c r="E40" s="2"/>
      <c r="F40" s="2"/>
      <c r="G40" s="2"/>
      <c r="H40" s="2"/>
      <c r="I40" s="2"/>
      <c r="J40" s="2"/>
      <c r="K40" s="2"/>
      <c r="L40" s="2"/>
      <c r="M40" s="6">
        <f t="shared" si="0"/>
        <v>4.8</v>
      </c>
      <c r="N40" s="10">
        <f t="shared" si="1"/>
        <v>9.753124047546434E-2</v>
      </c>
      <c r="O40" s="11">
        <f t="shared" si="4"/>
        <v>0.25297165498323637</v>
      </c>
      <c r="P40" s="11">
        <f t="shared" si="2"/>
        <v>0.24161148208694663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6" x14ac:dyDescent="0.2">
      <c r="A41" s="2">
        <f t="shared" si="3"/>
        <v>500</v>
      </c>
      <c r="B41" s="10">
        <v>0.32</v>
      </c>
      <c r="C41" s="10">
        <v>8.4499999999999993</v>
      </c>
      <c r="D41" s="14"/>
      <c r="E41" s="2"/>
      <c r="F41" s="2"/>
      <c r="G41" s="2"/>
      <c r="H41" s="2"/>
      <c r="I41" s="2"/>
      <c r="J41" s="2"/>
      <c r="K41" s="2"/>
      <c r="L41" s="2"/>
      <c r="M41" s="6">
        <f t="shared" si="0"/>
        <v>5</v>
      </c>
      <c r="N41" s="10">
        <f t="shared" si="1"/>
        <v>0.15239256324291373</v>
      </c>
      <c r="O41" s="11">
        <f t="shared" si="4"/>
        <v>0.24992380371837852</v>
      </c>
      <c r="P41" s="11">
        <f t="shared" si="2"/>
        <v>0.24161148208694663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6" x14ac:dyDescent="0.2">
      <c r="A42" s="2">
        <f t="shared" si="3"/>
        <v>520</v>
      </c>
      <c r="B42" s="10">
        <v>0</v>
      </c>
      <c r="C42" s="10">
        <v>8.16</v>
      </c>
      <c r="D42" s="14"/>
      <c r="E42" s="2"/>
      <c r="F42" s="2"/>
      <c r="G42" s="2"/>
      <c r="H42" s="2"/>
      <c r="I42" s="2"/>
      <c r="J42" s="2"/>
      <c r="K42" s="2"/>
      <c r="L42" s="2"/>
      <c r="M42" s="6">
        <f t="shared" si="0"/>
        <v>5.2</v>
      </c>
      <c r="N42" s="10">
        <f t="shared" si="1"/>
        <v>0.24078024992380345</v>
      </c>
      <c r="O42" s="11">
        <f t="shared" si="4"/>
        <v>0.24078024992380345</v>
      </c>
      <c r="P42" s="11">
        <f t="shared" si="2"/>
        <v>0.24161148208694663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6" x14ac:dyDescent="0.2">
      <c r="A43" s="2">
        <f t="shared" si="3"/>
        <v>540</v>
      </c>
      <c r="B43" s="7"/>
      <c r="C43" s="7">
        <v>7.25</v>
      </c>
      <c r="D43" s="14"/>
      <c r="E43" s="2"/>
      <c r="F43" s="2"/>
      <c r="G43" s="2"/>
      <c r="H43" s="2"/>
      <c r="I43" s="2"/>
      <c r="J43" s="2"/>
      <c r="K43" s="2"/>
      <c r="L43" s="2"/>
      <c r="M43" s="6">
        <f t="shared" si="0"/>
        <v>5.4</v>
      </c>
      <c r="N43" s="7">
        <f t="shared" si="1"/>
        <v>0.51813471502590647</v>
      </c>
      <c r="O43" s="9"/>
      <c r="P43" s="9">
        <f t="shared" si="2"/>
        <v>0.24161148208694663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6" x14ac:dyDescent="0.2">
      <c r="A44" s="2">
        <f t="shared" si="3"/>
        <v>560</v>
      </c>
      <c r="B44" s="7"/>
      <c r="C44" s="7">
        <v>6.75</v>
      </c>
      <c r="D44" s="14"/>
      <c r="E44" s="2"/>
      <c r="F44" s="2"/>
      <c r="G44" s="2"/>
      <c r="H44" s="2"/>
      <c r="I44" s="2"/>
      <c r="J44" s="2"/>
      <c r="K44" s="2"/>
      <c r="L44" s="2"/>
      <c r="M44" s="6">
        <f t="shared" si="0"/>
        <v>5.6</v>
      </c>
      <c r="N44" s="7">
        <f t="shared" si="1"/>
        <v>0.67052727826882019</v>
      </c>
      <c r="O44" s="9"/>
      <c r="P44" s="9">
        <f t="shared" si="2"/>
        <v>0.24161148208694663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6" x14ac:dyDescent="0.2">
      <c r="A45" s="2">
        <f t="shared" si="3"/>
        <v>580</v>
      </c>
      <c r="B45" s="7"/>
      <c r="C45" s="7">
        <v>6.32</v>
      </c>
      <c r="D45" s="14"/>
      <c r="E45" s="2"/>
      <c r="F45" s="2"/>
      <c r="G45" s="2"/>
      <c r="H45" s="2"/>
      <c r="I45" s="2"/>
      <c r="J45" s="2"/>
      <c r="K45" s="2"/>
      <c r="L45" s="2"/>
      <c r="M45" s="6">
        <f t="shared" si="0"/>
        <v>5.8</v>
      </c>
      <c r="N45" s="7">
        <f t="shared" si="1"/>
        <v>0.80158488265772598</v>
      </c>
      <c r="O45" s="9"/>
      <c r="P45" s="9">
        <f t="shared" si="2"/>
        <v>0.24161148208694663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6" x14ac:dyDescent="0.2">
      <c r="A46" s="2">
        <f t="shared" si="3"/>
        <v>600</v>
      </c>
      <c r="B46" s="7"/>
      <c r="C46" s="7">
        <v>6.09</v>
      </c>
      <c r="D46" s="14"/>
      <c r="E46" s="2"/>
      <c r="F46" s="2"/>
      <c r="G46" s="2"/>
      <c r="H46" s="2"/>
      <c r="I46" s="2"/>
      <c r="J46" s="2"/>
      <c r="K46" s="2"/>
      <c r="L46" s="2"/>
      <c r="M46" s="6">
        <f t="shared" si="0"/>
        <v>6</v>
      </c>
      <c r="N46" s="7">
        <f t="shared" si="1"/>
        <v>0.87168546174946637</v>
      </c>
      <c r="O46" s="9"/>
      <c r="P46" s="9">
        <f t="shared" si="2"/>
        <v>0.24161148208694663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6" x14ac:dyDescent="0.2">
      <c r="A47" s="2">
        <f t="shared" si="3"/>
        <v>620</v>
      </c>
      <c r="B47" s="7"/>
      <c r="C47" s="7">
        <v>6.09</v>
      </c>
      <c r="D47" s="14"/>
      <c r="E47" s="2"/>
      <c r="F47" s="2"/>
      <c r="G47" s="2"/>
      <c r="H47" s="2"/>
      <c r="I47" s="2"/>
      <c r="J47" s="2"/>
      <c r="K47" s="2"/>
      <c r="L47" s="2"/>
      <c r="M47" s="6">
        <f t="shared" si="0"/>
        <v>6.2</v>
      </c>
      <c r="N47" s="7">
        <f t="shared" si="1"/>
        <v>0.87168546174946637</v>
      </c>
      <c r="O47" s="9"/>
      <c r="P47" s="9">
        <f t="shared" si="2"/>
        <v>0.24161148208694663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6" x14ac:dyDescent="0.2">
      <c r="A48" s="2">
        <f t="shared" si="3"/>
        <v>640</v>
      </c>
      <c r="B48" s="7"/>
      <c r="C48" s="7">
        <v>6.57</v>
      </c>
      <c r="D48" s="14"/>
      <c r="E48" s="2"/>
      <c r="F48" s="2"/>
      <c r="G48" s="2"/>
      <c r="H48" s="2"/>
      <c r="I48" s="2"/>
      <c r="J48" s="2"/>
      <c r="K48" s="2"/>
      <c r="L48" s="2"/>
      <c r="M48" s="6">
        <f t="shared" si="0"/>
        <v>6.4</v>
      </c>
      <c r="N48" s="7">
        <f t="shared" si="1"/>
        <v>0.72538860103626912</v>
      </c>
      <c r="O48" s="9"/>
      <c r="P48" s="9">
        <f t="shared" si="2"/>
        <v>0.24161148208694663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6" x14ac:dyDescent="0.2">
      <c r="A49" s="2">
        <f t="shared" si="3"/>
        <v>660</v>
      </c>
      <c r="B49" s="7"/>
      <c r="C49" s="7">
        <v>6.63</v>
      </c>
      <c r="D49" s="14"/>
      <c r="E49" s="2"/>
      <c r="F49" s="2"/>
      <c r="G49" s="2"/>
      <c r="H49" s="2"/>
      <c r="I49" s="2"/>
      <c r="J49" s="2"/>
      <c r="K49" s="2"/>
      <c r="L49" s="2"/>
      <c r="M49" s="6">
        <f t="shared" si="0"/>
        <v>6.6</v>
      </c>
      <c r="N49" s="7">
        <f t="shared" si="1"/>
        <v>0.70710149344711959</v>
      </c>
      <c r="O49" s="9"/>
      <c r="P49" s="9">
        <f t="shared" si="2"/>
        <v>0.24161148208694663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6" x14ac:dyDescent="0.2">
      <c r="A50" s="2">
        <f t="shared" si="3"/>
        <v>680</v>
      </c>
      <c r="B50" s="7"/>
      <c r="C50" s="7">
        <v>6.74</v>
      </c>
      <c r="D50" s="14"/>
      <c r="E50" s="2"/>
      <c r="F50" s="2"/>
      <c r="G50" s="2"/>
      <c r="H50" s="2"/>
      <c r="I50" s="2"/>
      <c r="J50" s="2"/>
      <c r="K50" s="2"/>
      <c r="L50" s="2"/>
      <c r="M50" s="6">
        <f t="shared" si="0"/>
        <v>6.8</v>
      </c>
      <c r="N50" s="7">
        <f t="shared" si="1"/>
        <v>0.67357512953367848</v>
      </c>
      <c r="O50" s="9"/>
      <c r="P50" s="9">
        <f t="shared" si="2"/>
        <v>0.24161148208694663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6" x14ac:dyDescent="0.2">
      <c r="A51" s="2">
        <f t="shared" si="3"/>
        <v>700</v>
      </c>
      <c r="B51" s="7"/>
      <c r="C51" s="7">
        <v>6.6</v>
      </c>
      <c r="D51" s="14"/>
      <c r="E51" s="2"/>
      <c r="F51" s="2"/>
      <c r="G51" s="2"/>
      <c r="H51" s="2"/>
      <c r="I51" s="2"/>
      <c r="J51" s="2"/>
      <c r="K51" s="2"/>
      <c r="L51" s="2"/>
      <c r="M51" s="6">
        <f t="shared" si="0"/>
        <v>7</v>
      </c>
      <c r="N51" s="7">
        <f t="shared" si="1"/>
        <v>0.71624504724169447</v>
      </c>
      <c r="O51" s="9"/>
      <c r="P51" s="9">
        <f t="shared" si="2"/>
        <v>0.24161148208694663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6" x14ac:dyDescent="0.2">
      <c r="A52" s="2">
        <f t="shared" si="3"/>
        <v>720</v>
      </c>
      <c r="B52" s="7"/>
      <c r="C52" s="7">
        <v>6.6</v>
      </c>
      <c r="D52" s="14"/>
      <c r="E52" s="2"/>
      <c r="F52" s="2"/>
      <c r="G52" s="2"/>
      <c r="H52" s="2"/>
      <c r="I52" s="2"/>
      <c r="J52" s="2"/>
      <c r="K52" s="2"/>
      <c r="L52" s="2"/>
      <c r="M52" s="6">
        <f t="shared" si="0"/>
        <v>7.2</v>
      </c>
      <c r="N52" s="7">
        <f t="shared" si="1"/>
        <v>0.71624504724169447</v>
      </c>
      <c r="O52" s="9"/>
      <c r="P52" s="9">
        <f t="shared" si="2"/>
        <v>0.24161148208694663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6" x14ac:dyDescent="0.2">
      <c r="A53" s="2">
        <f t="shared" si="3"/>
        <v>740</v>
      </c>
      <c r="B53" s="7"/>
      <c r="C53" s="7">
        <v>6.86</v>
      </c>
      <c r="D53" s="14"/>
      <c r="E53" s="2"/>
      <c r="F53" s="2"/>
      <c r="G53" s="2"/>
      <c r="H53" s="2"/>
      <c r="I53" s="2"/>
      <c r="J53" s="2"/>
      <c r="K53" s="2"/>
      <c r="L53" s="2"/>
      <c r="M53" s="6">
        <f t="shared" si="0"/>
        <v>7.4</v>
      </c>
      <c r="N53" s="7">
        <f t="shared" si="1"/>
        <v>0.63700091435537909</v>
      </c>
      <c r="O53" s="9"/>
      <c r="P53" s="9">
        <f t="shared" si="2"/>
        <v>0.24161148208694663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6" x14ac:dyDescent="0.2">
      <c r="A54" s="2">
        <f t="shared" si="3"/>
        <v>760</v>
      </c>
      <c r="B54" s="7"/>
      <c r="C54" s="7">
        <v>6.49</v>
      </c>
      <c r="D54" s="14"/>
      <c r="E54" s="2"/>
      <c r="F54" s="2"/>
      <c r="G54" s="2"/>
      <c r="H54" s="2"/>
      <c r="I54" s="2"/>
      <c r="J54" s="2"/>
      <c r="K54" s="2"/>
      <c r="L54" s="2"/>
      <c r="M54" s="6">
        <f t="shared" si="0"/>
        <v>7.6</v>
      </c>
      <c r="N54" s="7">
        <f t="shared" si="1"/>
        <v>0.74977141115513535</v>
      </c>
      <c r="O54" s="9"/>
      <c r="P54" s="9">
        <f t="shared" si="2"/>
        <v>0.24161148208694663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6" x14ac:dyDescent="0.2">
      <c r="A55" s="2">
        <f t="shared" si="3"/>
        <v>780</v>
      </c>
      <c r="B55" s="7"/>
      <c r="C55" s="7">
        <v>5.9</v>
      </c>
      <c r="D55" s="14"/>
      <c r="E55" s="2"/>
      <c r="F55" s="2"/>
      <c r="G55" s="2"/>
      <c r="H55" s="2"/>
      <c r="I55" s="2"/>
      <c r="J55" s="2"/>
      <c r="K55" s="2"/>
      <c r="L55" s="2"/>
      <c r="M55" s="6">
        <f t="shared" si="0"/>
        <v>7.8</v>
      </c>
      <c r="N55" s="7">
        <f t="shared" si="1"/>
        <v>0.92959463578177348</v>
      </c>
      <c r="O55" s="9"/>
      <c r="P55" s="9">
        <f t="shared" si="2"/>
        <v>0.24161148208694663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6" x14ac:dyDescent="0.2">
      <c r="A56" s="2">
        <f t="shared" si="3"/>
        <v>800</v>
      </c>
      <c r="B56" s="7"/>
      <c r="C56" s="7">
        <v>5.69</v>
      </c>
      <c r="D56" s="14"/>
      <c r="E56" s="2"/>
      <c r="F56" s="2"/>
      <c r="G56" s="2"/>
      <c r="H56" s="2"/>
      <c r="I56" s="2"/>
      <c r="J56" s="2"/>
      <c r="K56" s="2"/>
      <c r="L56" s="2"/>
      <c r="M56" s="6">
        <f t="shared" si="0"/>
        <v>8</v>
      </c>
      <c r="N56" s="7">
        <f t="shared" si="1"/>
        <v>0.99359951234379729</v>
      </c>
      <c r="O56" s="9"/>
      <c r="P56" s="9">
        <f t="shared" si="2"/>
        <v>0.24161148208694663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6" x14ac:dyDescent="0.2">
      <c r="A57" s="2">
        <f t="shared" si="3"/>
        <v>820</v>
      </c>
      <c r="B57" s="7"/>
      <c r="C57" s="7">
        <v>5.44</v>
      </c>
      <c r="D57" s="14"/>
      <c r="E57" s="2"/>
      <c r="F57" s="2"/>
      <c r="G57" s="2"/>
      <c r="H57" s="2"/>
      <c r="I57" s="2"/>
      <c r="J57" s="2"/>
      <c r="K57" s="2"/>
      <c r="L57" s="2"/>
      <c r="M57" s="6">
        <f t="shared" si="0"/>
        <v>8.1999999999999993</v>
      </c>
      <c r="N57" s="7">
        <f t="shared" si="1"/>
        <v>1.069795793965254</v>
      </c>
      <c r="O57" s="9"/>
      <c r="P57" s="9">
        <f t="shared" si="2"/>
        <v>0.24161148208694663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6" x14ac:dyDescent="0.2">
      <c r="A58" s="2">
        <f t="shared" si="3"/>
        <v>840</v>
      </c>
      <c r="B58" s="7"/>
      <c r="C58" s="7">
        <v>4.8899999999999997</v>
      </c>
      <c r="D58" s="14"/>
      <c r="E58" s="2"/>
      <c r="F58" s="2"/>
      <c r="G58" s="2"/>
      <c r="H58" s="2"/>
      <c r="I58" s="2"/>
      <c r="J58" s="2"/>
      <c r="K58" s="2"/>
      <c r="L58" s="2"/>
      <c r="M58" s="6">
        <f t="shared" si="0"/>
        <v>8.4</v>
      </c>
      <c r="N58" s="7">
        <f t="shared" si="1"/>
        <v>1.2374276135324593</v>
      </c>
      <c r="O58" s="9"/>
      <c r="P58" s="9">
        <f t="shared" si="2"/>
        <v>0.24161148208694663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6" x14ac:dyDescent="0.2">
      <c r="A59" s="2">
        <f t="shared" si="3"/>
        <v>860</v>
      </c>
      <c r="B59" s="7"/>
      <c r="C59" s="7">
        <v>4.72</v>
      </c>
      <c r="D59" s="14"/>
      <c r="E59" s="2"/>
      <c r="F59" s="2"/>
      <c r="G59" s="2"/>
      <c r="H59" s="2"/>
      <c r="I59" s="2"/>
      <c r="J59" s="2"/>
      <c r="K59" s="2"/>
      <c r="L59" s="2"/>
      <c r="M59" s="6">
        <f t="shared" si="0"/>
        <v>8.6</v>
      </c>
      <c r="N59" s="7">
        <f t="shared" si="1"/>
        <v>1.2892410850350502</v>
      </c>
      <c r="O59" s="9"/>
      <c r="P59" s="9">
        <f t="shared" si="2"/>
        <v>0.24161148208694663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6" x14ac:dyDescent="0.2">
      <c r="A60" s="2">
        <f t="shared" si="3"/>
        <v>880</v>
      </c>
      <c r="B60" s="7"/>
      <c r="C60" s="7">
        <v>4.58</v>
      </c>
      <c r="D60" s="14"/>
      <c r="E60" s="14"/>
      <c r="F60" s="2"/>
      <c r="G60" s="2"/>
      <c r="H60" s="2"/>
      <c r="I60" s="2"/>
      <c r="J60" s="2"/>
      <c r="K60" s="2"/>
      <c r="L60" s="2"/>
      <c r="M60" s="6">
        <f t="shared" si="0"/>
        <v>8.8000000000000007</v>
      </c>
      <c r="N60" s="7">
        <f t="shared" si="1"/>
        <v>1.3319110027430658</v>
      </c>
      <c r="O60" s="9"/>
      <c r="P60" s="9">
        <f t="shared" si="2"/>
        <v>0.24161148208694663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6" x14ac:dyDescent="0.2">
      <c r="A61" s="2">
        <f t="shared" si="3"/>
        <v>900</v>
      </c>
      <c r="B61" s="7"/>
      <c r="C61" s="7">
        <v>4.58</v>
      </c>
      <c r="D61" s="14"/>
      <c r="E61" s="2"/>
      <c r="F61" s="2"/>
      <c r="G61" s="2"/>
      <c r="H61" s="2"/>
      <c r="I61" s="2"/>
      <c r="J61" s="2"/>
      <c r="K61" s="2"/>
      <c r="L61" s="2"/>
      <c r="M61" s="6">
        <f t="shared" si="0"/>
        <v>9</v>
      </c>
      <c r="N61" s="7">
        <f t="shared" si="1"/>
        <v>1.3319110027430658</v>
      </c>
      <c r="O61" s="9"/>
      <c r="P61" s="9">
        <f t="shared" si="2"/>
        <v>0.24161148208694663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6" x14ac:dyDescent="0.2">
      <c r="A62" s="2"/>
      <c r="B62" s="2"/>
      <c r="C62" s="15"/>
      <c r="D62" s="14"/>
      <c r="E62" s="2"/>
      <c r="F62" s="2"/>
      <c r="G62" s="2"/>
      <c r="H62" s="2"/>
      <c r="I62" s="2"/>
      <c r="J62" s="2"/>
      <c r="K62" s="2"/>
      <c r="L62" s="2"/>
      <c r="M62" s="6"/>
      <c r="N62" s="2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6" x14ac:dyDescent="0.2">
      <c r="A63" s="2"/>
      <c r="B63" s="2"/>
      <c r="C63" s="15"/>
      <c r="D63" s="14"/>
      <c r="E63" s="2"/>
      <c r="F63" s="2"/>
      <c r="G63" s="2"/>
      <c r="H63" s="2"/>
      <c r="I63" s="2"/>
      <c r="J63" s="2"/>
      <c r="K63" s="2"/>
      <c r="L63" s="2"/>
      <c r="M63" s="6"/>
      <c r="N63" s="2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6" x14ac:dyDescent="0.2">
      <c r="A64" s="2"/>
      <c r="B64" s="2"/>
      <c r="C64" s="15"/>
      <c r="D64" s="14"/>
      <c r="E64" s="2"/>
      <c r="F64" s="2"/>
      <c r="G64" s="2"/>
      <c r="H64" s="2"/>
      <c r="I64" s="2"/>
      <c r="J64" s="2"/>
      <c r="K64" s="2"/>
      <c r="L64" s="2"/>
      <c r="M64" s="6"/>
      <c r="N64" s="2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6" x14ac:dyDescent="0.2">
      <c r="A65" s="2"/>
      <c r="B65" s="2"/>
      <c r="C65" s="15"/>
      <c r="D65" s="14"/>
      <c r="E65" s="2"/>
      <c r="F65" s="2"/>
      <c r="G65" s="2"/>
      <c r="H65" s="2"/>
      <c r="I65" s="2"/>
      <c r="J65" s="2"/>
      <c r="K65" s="2"/>
      <c r="L65" s="2"/>
      <c r="M65" s="6"/>
      <c r="N65" s="2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6" x14ac:dyDescent="0.2">
      <c r="A66" s="2"/>
      <c r="B66" s="2"/>
      <c r="C66" s="15"/>
      <c r="D66" s="14"/>
      <c r="E66" s="2"/>
      <c r="F66" s="2"/>
      <c r="G66" s="2"/>
      <c r="H66" s="2"/>
      <c r="I66" s="2"/>
      <c r="J66" s="2"/>
      <c r="K66" s="2"/>
      <c r="L66" s="2"/>
      <c r="M66" s="2"/>
      <c r="N66" s="2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6" x14ac:dyDescent="0.2">
      <c r="A67" s="2"/>
      <c r="B67" s="2"/>
      <c r="C67" s="15"/>
      <c r="D67" s="14"/>
      <c r="E67" s="2"/>
      <c r="F67" s="2"/>
      <c r="G67" s="2"/>
      <c r="H67" s="2"/>
      <c r="I67" s="2"/>
      <c r="J67" s="2"/>
      <c r="K67" s="2"/>
      <c r="L67" s="2"/>
      <c r="M67" s="2"/>
      <c r="N67" s="2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6" x14ac:dyDescent="0.2">
      <c r="A68" s="2"/>
      <c r="B68" s="2"/>
      <c r="C68" s="1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6" x14ac:dyDescent="0.2">
      <c r="A69" s="2"/>
      <c r="B69" s="2"/>
      <c r="C69" s="1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6" x14ac:dyDescent="0.2">
      <c r="A70" s="2"/>
      <c r="B70" s="2"/>
      <c r="C70" s="1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6" x14ac:dyDescent="0.2">
      <c r="A71" s="2"/>
      <c r="B71" s="2"/>
      <c r="C71" s="1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6" x14ac:dyDescent="0.2">
      <c r="A72" s="2"/>
      <c r="B72" s="2"/>
      <c r="C72" s="1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6" x14ac:dyDescent="0.2">
      <c r="A73" s="2"/>
      <c r="B73" s="2"/>
      <c r="C73" s="1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6" x14ac:dyDescent="0.2">
      <c r="A74" s="2"/>
      <c r="B74" s="2"/>
      <c r="C74" s="1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6" x14ac:dyDescent="0.2">
      <c r="A75" s="2"/>
      <c r="B75" s="2"/>
      <c r="C75" s="1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6F4C-0253-6A46-BD70-BF0E60AF6F1D}">
  <dimension ref="A1:C47"/>
  <sheetViews>
    <sheetView workbookViewId="0">
      <selection activeCell="E22" sqref="E22"/>
    </sheetView>
  </sheetViews>
  <sheetFormatPr baseColWidth="10" defaultRowHeight="14" x14ac:dyDescent="0.2"/>
  <sheetData>
    <row r="1" spans="1:3" ht="16" x14ac:dyDescent="0.2">
      <c r="A1" s="1" t="s">
        <v>56</v>
      </c>
      <c r="B1" s="1" t="s">
        <v>57</v>
      </c>
      <c r="C1" s="1" t="s">
        <v>66</v>
      </c>
    </row>
    <row r="2" spans="1:3" ht="16" x14ac:dyDescent="0.2">
      <c r="A2" s="19">
        <v>0</v>
      </c>
      <c r="B2" s="20">
        <v>1.7128920000000001</v>
      </c>
      <c r="C2" s="19">
        <v>0.24</v>
      </c>
    </row>
    <row r="3" spans="1:3" ht="16" x14ac:dyDescent="0.2">
      <c r="A3" s="19">
        <v>0.2</v>
      </c>
      <c r="B3" s="20">
        <v>1.6976530000000001</v>
      </c>
      <c r="C3" s="19">
        <v>0.24</v>
      </c>
    </row>
    <row r="4" spans="1:3" ht="16" x14ac:dyDescent="0.2">
      <c r="A4" s="19">
        <v>0.4</v>
      </c>
      <c r="B4" s="20">
        <v>1.6519349999999999</v>
      </c>
      <c r="C4" s="19">
        <v>0.24</v>
      </c>
    </row>
    <row r="5" spans="1:3" ht="16" x14ac:dyDescent="0.2">
      <c r="A5" s="19">
        <v>0.6</v>
      </c>
      <c r="B5" s="20">
        <v>1.5696429999999999</v>
      </c>
      <c r="C5" s="19">
        <v>0.24</v>
      </c>
    </row>
    <row r="6" spans="1:3" ht="16" x14ac:dyDescent="0.2">
      <c r="A6" s="19">
        <v>0.8</v>
      </c>
      <c r="B6" s="20">
        <v>1.1795180000000001</v>
      </c>
      <c r="C6" s="19">
        <v>0.24</v>
      </c>
    </row>
    <row r="7" spans="1:3" ht="16" x14ac:dyDescent="0.2">
      <c r="A7" s="19">
        <v>1</v>
      </c>
      <c r="B7" s="20">
        <v>0.12191399999999999</v>
      </c>
      <c r="C7" s="19">
        <v>0.24</v>
      </c>
    </row>
    <row r="8" spans="1:3" ht="16" x14ac:dyDescent="0.2">
      <c r="A8" s="19">
        <v>1.2</v>
      </c>
      <c r="B8" s="20">
        <v>6.0956999999999997E-2</v>
      </c>
      <c r="C8" s="19">
        <v>0.24</v>
      </c>
    </row>
    <row r="9" spans="1:3" ht="16" x14ac:dyDescent="0.2">
      <c r="A9" s="19">
        <v>1.4</v>
      </c>
      <c r="B9" s="20">
        <v>9.1439999999999994E-3</v>
      </c>
      <c r="C9" s="19">
        <v>0.24</v>
      </c>
    </row>
    <row r="10" spans="1:3" ht="16" x14ac:dyDescent="0.2">
      <c r="A10" s="19">
        <v>1.6</v>
      </c>
      <c r="B10" s="20">
        <v>6.0959999999999999E-3</v>
      </c>
      <c r="C10" s="19">
        <v>0.24</v>
      </c>
    </row>
    <row r="11" spans="1:3" ht="16" x14ac:dyDescent="0.2">
      <c r="A11" s="19">
        <v>1.8</v>
      </c>
      <c r="B11" s="20">
        <v>0</v>
      </c>
      <c r="C11" s="19">
        <v>0.24</v>
      </c>
    </row>
    <row r="12" spans="1:3" ht="16" x14ac:dyDescent="0.2">
      <c r="A12" s="19">
        <v>2</v>
      </c>
      <c r="B12" s="20">
        <v>2.7431000000000001E-2</v>
      </c>
      <c r="C12" s="19">
        <v>0.24</v>
      </c>
    </row>
    <row r="13" spans="1:3" ht="16" x14ac:dyDescent="0.2">
      <c r="A13" s="19">
        <v>2.2000000000000002</v>
      </c>
      <c r="B13" s="20">
        <v>2.1335E-2</v>
      </c>
      <c r="C13" s="19">
        <v>0.24</v>
      </c>
    </row>
    <row r="14" spans="1:3" ht="16" x14ac:dyDescent="0.2">
      <c r="A14" s="19">
        <v>2.4</v>
      </c>
      <c r="B14" s="20">
        <v>4.5718000000000002E-2</v>
      </c>
      <c r="C14" s="19">
        <v>0.24</v>
      </c>
    </row>
    <row r="15" spans="1:3" ht="16" x14ac:dyDescent="0.2">
      <c r="A15" s="19">
        <v>2.6</v>
      </c>
      <c r="B15" s="20">
        <v>5.1812999999999998E-2</v>
      </c>
      <c r="C15" s="19">
        <v>0.24</v>
      </c>
    </row>
    <row r="16" spans="1:3" ht="16" x14ac:dyDescent="0.2">
      <c r="A16" s="19">
        <v>2.8</v>
      </c>
      <c r="B16" s="20">
        <v>3.6574000000000002E-2</v>
      </c>
      <c r="C16" s="19">
        <v>0.24</v>
      </c>
    </row>
    <row r="17" spans="1:3" ht="16" x14ac:dyDescent="0.2">
      <c r="A17" s="19">
        <v>3</v>
      </c>
      <c r="B17" s="20">
        <v>2.7431000000000001E-2</v>
      </c>
      <c r="C17" s="19">
        <v>0.24</v>
      </c>
    </row>
    <row r="18" spans="1:3" ht="16" x14ac:dyDescent="0.2">
      <c r="A18" s="19">
        <v>3.2</v>
      </c>
      <c r="B18" s="20">
        <v>2.4382999999999998E-2</v>
      </c>
      <c r="C18" s="19">
        <v>0.24</v>
      </c>
    </row>
    <row r="19" spans="1:3" ht="16" x14ac:dyDescent="0.2">
      <c r="A19" s="19">
        <v>3.4</v>
      </c>
      <c r="B19" s="20">
        <v>1.5239000000000001E-2</v>
      </c>
      <c r="C19" s="19">
        <v>0.24</v>
      </c>
    </row>
    <row r="20" spans="1:3" ht="16" x14ac:dyDescent="0.2">
      <c r="A20" s="19">
        <v>3.6</v>
      </c>
      <c r="B20" s="20">
        <v>1.5239000000000001E-2</v>
      </c>
      <c r="C20" s="19">
        <v>0.24</v>
      </c>
    </row>
    <row r="21" spans="1:3" ht="16" x14ac:dyDescent="0.2">
      <c r="A21" s="19">
        <v>3.8</v>
      </c>
      <c r="B21" s="20">
        <v>1.8287000000000001E-2</v>
      </c>
      <c r="C21" s="19">
        <v>0.24</v>
      </c>
    </row>
    <row r="22" spans="1:3" ht="16" x14ac:dyDescent="0.2">
      <c r="A22" s="19">
        <v>4</v>
      </c>
      <c r="B22" s="20">
        <v>3.0479999999999999E-3</v>
      </c>
      <c r="C22" s="19">
        <v>0.24</v>
      </c>
    </row>
    <row r="23" spans="1:3" ht="16" x14ac:dyDescent="0.2">
      <c r="A23" s="19">
        <v>4.2</v>
      </c>
      <c r="B23" s="20">
        <v>0</v>
      </c>
      <c r="C23" s="19">
        <v>0.24</v>
      </c>
    </row>
    <row r="24" spans="1:3" ht="16" x14ac:dyDescent="0.2">
      <c r="A24" s="19">
        <v>4.4000000000000004</v>
      </c>
      <c r="B24" s="20">
        <v>1.2191E-2</v>
      </c>
      <c r="C24" s="19">
        <v>0.24</v>
      </c>
    </row>
    <row r="25" spans="1:3" ht="16" x14ac:dyDescent="0.2">
      <c r="A25" s="19">
        <v>4.5999999999999996</v>
      </c>
      <c r="B25" s="20">
        <v>6.0956999999999997E-2</v>
      </c>
      <c r="C25" s="19">
        <v>0.24</v>
      </c>
    </row>
    <row r="26" spans="1:3" ht="16" x14ac:dyDescent="0.2">
      <c r="A26" s="19">
        <v>4.8</v>
      </c>
      <c r="B26" s="20">
        <v>9.7531000000000007E-2</v>
      </c>
      <c r="C26" s="19">
        <v>0.24</v>
      </c>
    </row>
    <row r="27" spans="1:3" ht="16" x14ac:dyDescent="0.2">
      <c r="A27" s="19">
        <v>5</v>
      </c>
      <c r="B27" s="20">
        <v>0.152393</v>
      </c>
      <c r="C27" s="19">
        <v>0.24</v>
      </c>
    </row>
    <row r="28" spans="1:3" ht="16" x14ac:dyDescent="0.2">
      <c r="A28" s="19">
        <v>5.2</v>
      </c>
      <c r="B28" s="20">
        <v>0.24077999999999999</v>
      </c>
      <c r="C28" s="19">
        <v>0.24</v>
      </c>
    </row>
    <row r="29" spans="1:3" ht="16" x14ac:dyDescent="0.2">
      <c r="A29" s="19">
        <v>5.4</v>
      </c>
      <c r="B29" s="20">
        <v>0.51813500000000001</v>
      </c>
      <c r="C29" s="19">
        <v>0.24</v>
      </c>
    </row>
    <row r="30" spans="1:3" ht="16" x14ac:dyDescent="0.2">
      <c r="A30" s="19">
        <v>5.6</v>
      </c>
      <c r="B30" s="20">
        <v>0.67052699999999998</v>
      </c>
      <c r="C30" s="19">
        <v>0.24</v>
      </c>
    </row>
    <row r="31" spans="1:3" ht="16" x14ac:dyDescent="0.2">
      <c r="A31" s="19">
        <v>5.8</v>
      </c>
      <c r="B31" s="20">
        <v>0.80158499999999999</v>
      </c>
      <c r="C31" s="19">
        <v>0.24</v>
      </c>
    </row>
    <row r="32" spans="1:3" ht="16" x14ac:dyDescent="0.2">
      <c r="A32" s="19">
        <v>6</v>
      </c>
      <c r="B32" s="20">
        <v>0.87168500000000004</v>
      </c>
      <c r="C32" s="19">
        <v>0.24</v>
      </c>
    </row>
    <row r="33" spans="1:3" ht="16" x14ac:dyDescent="0.2">
      <c r="A33" s="19">
        <v>6.2</v>
      </c>
      <c r="B33" s="20">
        <v>0.87168500000000004</v>
      </c>
      <c r="C33" s="19">
        <v>0.24</v>
      </c>
    </row>
    <row r="34" spans="1:3" ht="16" x14ac:dyDescent="0.2">
      <c r="A34" s="19">
        <v>6.4</v>
      </c>
      <c r="B34" s="20">
        <v>0.72538899999999995</v>
      </c>
      <c r="C34" s="19">
        <v>0.24</v>
      </c>
    </row>
    <row r="35" spans="1:3" ht="16" x14ac:dyDescent="0.2">
      <c r="A35" s="19">
        <v>6.6</v>
      </c>
      <c r="B35" s="20">
        <v>0.70710099999999998</v>
      </c>
      <c r="C35" s="19">
        <v>0.24</v>
      </c>
    </row>
    <row r="36" spans="1:3" ht="16" x14ac:dyDescent="0.2">
      <c r="A36" s="19">
        <v>6.8</v>
      </c>
      <c r="B36" s="20">
        <v>0.67357500000000003</v>
      </c>
      <c r="C36" s="19">
        <v>0.24</v>
      </c>
    </row>
    <row r="37" spans="1:3" ht="16" x14ac:dyDescent="0.2">
      <c r="A37" s="19">
        <v>7</v>
      </c>
      <c r="B37" s="20">
        <v>0.71624500000000002</v>
      </c>
      <c r="C37" s="19">
        <v>0.24</v>
      </c>
    </row>
    <row r="38" spans="1:3" ht="16" x14ac:dyDescent="0.2">
      <c r="A38" s="19">
        <v>7.2</v>
      </c>
      <c r="B38" s="20">
        <v>0.71624500000000002</v>
      </c>
      <c r="C38" s="19">
        <v>0.24</v>
      </c>
    </row>
    <row r="39" spans="1:3" ht="16" x14ac:dyDescent="0.2">
      <c r="A39" s="19">
        <v>7.4</v>
      </c>
      <c r="B39" s="20">
        <v>0.63700100000000004</v>
      </c>
      <c r="C39" s="19">
        <v>0.24</v>
      </c>
    </row>
    <row r="40" spans="1:3" ht="16" x14ac:dyDescent="0.2">
      <c r="A40" s="19">
        <v>7.6</v>
      </c>
      <c r="B40" s="20">
        <v>0.74977099999999997</v>
      </c>
      <c r="C40" s="19">
        <v>0.24</v>
      </c>
    </row>
    <row r="41" spans="1:3" ht="16" x14ac:dyDescent="0.2">
      <c r="A41" s="19">
        <v>7.8</v>
      </c>
      <c r="B41" s="20">
        <v>0.92959499999999995</v>
      </c>
      <c r="C41" s="19">
        <v>0.24</v>
      </c>
    </row>
    <row r="42" spans="1:3" ht="16" x14ac:dyDescent="0.2">
      <c r="A42" s="19">
        <v>8</v>
      </c>
      <c r="B42" s="20">
        <v>0.99360000000000004</v>
      </c>
      <c r="C42" s="19">
        <v>0.24</v>
      </c>
    </row>
    <row r="43" spans="1:3" ht="16" x14ac:dyDescent="0.2">
      <c r="A43" s="19">
        <v>8.1999999999999993</v>
      </c>
      <c r="B43" s="20">
        <v>1.069796</v>
      </c>
      <c r="C43" s="19">
        <v>0.24</v>
      </c>
    </row>
    <row r="44" spans="1:3" ht="16" x14ac:dyDescent="0.2">
      <c r="A44" s="19">
        <v>8.4</v>
      </c>
      <c r="B44" s="20">
        <v>1.237428</v>
      </c>
      <c r="C44" s="19">
        <v>0.24</v>
      </c>
    </row>
    <row r="45" spans="1:3" ht="16" x14ac:dyDescent="0.2">
      <c r="A45" s="19">
        <v>8.6</v>
      </c>
      <c r="B45" s="20">
        <v>1.2892410000000001</v>
      </c>
      <c r="C45" s="19">
        <v>0.24</v>
      </c>
    </row>
    <row r="46" spans="1:3" ht="16" x14ac:dyDescent="0.2">
      <c r="A46" s="19">
        <v>8.8000000000000007</v>
      </c>
      <c r="B46" s="20">
        <v>1.3319110000000001</v>
      </c>
      <c r="C46" s="19">
        <v>0.24</v>
      </c>
    </row>
    <row r="47" spans="1:3" ht="16" x14ac:dyDescent="0.2">
      <c r="A47" s="19">
        <v>9</v>
      </c>
      <c r="B47" s="20">
        <v>1.3319110000000001</v>
      </c>
      <c r="C47" s="19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erosion</vt:lpstr>
      <vt:lpstr>XS_synthetic</vt:lpstr>
      <vt:lpstr>XS_csv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Kraus, Sam</cp:lastModifiedBy>
  <dcterms:modified xsi:type="dcterms:W3CDTF">2024-05-21T04:27:04Z</dcterms:modified>
</cp:coreProperties>
</file>