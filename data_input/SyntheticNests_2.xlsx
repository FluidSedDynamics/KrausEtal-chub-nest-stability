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ropbox/MS_Research_KrausSam/Fieldwork/SyntheticNests/"/>
    </mc:Choice>
  </mc:AlternateContent>
  <xr:revisionPtr revIDLastSave="0" documentId="13_ncr:1_{71D7D5E6-863A-754F-B60D-AAB4FAF82B7F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erosion" sheetId="1" r:id="rId1"/>
    <sheet name="checktimes_HOBO" sheetId="5" r:id="rId2"/>
    <sheet name="XS_8" sheetId="4" r:id="rId3"/>
    <sheet name="XS_csv" sheetId="3" r:id="rId4"/>
  </sheets>
  <externalReferences>
    <externalReference r:id="rId5"/>
  </externalReferences>
  <definedNames>
    <definedName name="_20240208_20240218_HOBOchecks" localSheetId="1">checktimes_HOBO!#REF!</definedName>
    <definedName name="_20240208_20240410_HOBOchecks" localSheetId="1">checktimes_HOBO!#REF!</definedName>
    <definedName name="_20240208_20240410_HOBOchecks_9" localSheetId="1">checktimes_HOBO!$A$1:$M$15</definedName>
    <definedName name="_20241218_20250206_HOBOchecks" localSheetId="1">checktimes_HOBO!$A$16:$M$26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1" l="1"/>
  <c r="AB17" i="1"/>
  <c r="AB18" i="1"/>
  <c r="AB20" i="1"/>
  <c r="AB21" i="1"/>
  <c r="AB22" i="1"/>
  <c r="AB24" i="1"/>
  <c r="AB25" i="1"/>
  <c r="AB16" i="1"/>
  <c r="W12" i="1" l="1"/>
  <c r="Y12" i="1" s="1"/>
  <c r="W11" i="1"/>
  <c r="Y11" i="1" s="1"/>
  <c r="W16" i="1"/>
  <c r="Y16" i="1" s="1"/>
  <c r="X16" i="1"/>
  <c r="Z16" i="1" s="1"/>
  <c r="W17" i="1"/>
  <c r="Y17" i="1" s="1"/>
  <c r="X17" i="1"/>
  <c r="Z17" i="1" s="1"/>
  <c r="W18" i="1"/>
  <c r="Y18" i="1" s="1"/>
  <c r="X18" i="1"/>
  <c r="Z18" i="1" s="1"/>
  <c r="W20" i="1"/>
  <c r="X20" i="1"/>
  <c r="W21" i="1"/>
  <c r="Y21" i="1" s="1"/>
  <c r="X21" i="1"/>
  <c r="Z21" i="1" s="1"/>
  <c r="W22" i="1"/>
  <c r="Y22" i="1" s="1"/>
  <c r="X22" i="1"/>
  <c r="Z22" i="1" s="1"/>
  <c r="W24" i="1"/>
  <c r="Y24" i="1" s="1"/>
  <c r="X24" i="1"/>
  <c r="Z24" i="1" s="1"/>
  <c r="W25" i="1"/>
  <c r="X25" i="1"/>
  <c r="W26" i="1"/>
  <c r="Y26" i="1" s="1"/>
  <c r="X26" i="1"/>
  <c r="Z26" i="1" s="1"/>
  <c r="L16" i="1"/>
  <c r="L17" i="1"/>
  <c r="L18" i="1"/>
  <c r="L21" i="1"/>
  <c r="L22" i="1"/>
  <c r="L24" i="1"/>
  <c r="L26" i="1"/>
  <c r="K27" i="4"/>
  <c r="U77" i="4" s="1"/>
  <c r="J27" i="4"/>
  <c r="N77" i="4" s="1"/>
  <c r="S77" i="4" s="1"/>
  <c r="I27" i="4"/>
  <c r="N30" i="4" s="1"/>
  <c r="S30" i="4" s="1"/>
  <c r="H27" i="4"/>
  <c r="M31" i="4" s="1"/>
  <c r="P22" i="4"/>
  <c r="Q22" i="4" s="1"/>
  <c r="O22" i="4"/>
  <c r="N22" i="4"/>
  <c r="M22" i="4"/>
  <c r="P21" i="4"/>
  <c r="N21" i="4"/>
  <c r="M21" i="4"/>
  <c r="P20" i="4"/>
  <c r="Q20" i="4" s="1"/>
  <c r="O20" i="4"/>
  <c r="N20" i="4"/>
  <c r="M20" i="4"/>
  <c r="P19" i="4"/>
  <c r="Q19" i="4" s="1"/>
  <c r="O19" i="4"/>
  <c r="N19" i="4"/>
  <c r="M19" i="4"/>
  <c r="P18" i="4"/>
  <c r="Q18" i="4" s="1"/>
  <c r="O18" i="4"/>
  <c r="N18" i="4"/>
  <c r="M18" i="4"/>
  <c r="P17" i="4"/>
  <c r="O17" i="4"/>
  <c r="Q17" i="4" s="1"/>
  <c r="N17" i="4"/>
  <c r="M17" i="4"/>
  <c r="P16" i="4"/>
  <c r="Q16" i="4" s="1"/>
  <c r="O16" i="4"/>
  <c r="N16" i="4"/>
  <c r="M16" i="4"/>
  <c r="Q15" i="4"/>
  <c r="P15" i="4"/>
  <c r="O15" i="4"/>
  <c r="O23" i="4" s="1"/>
  <c r="N15" i="4"/>
  <c r="M15" i="4"/>
  <c r="O27" i="4" l="1"/>
  <c r="O28" i="4"/>
  <c r="O29" i="4"/>
  <c r="O30" i="4"/>
  <c r="N31" i="4"/>
  <c r="S31" i="4" s="1"/>
  <c r="M32" i="4"/>
  <c r="M33" i="4"/>
  <c r="M34" i="4"/>
  <c r="M35" i="4"/>
  <c r="M36" i="4"/>
  <c r="M37" i="4"/>
  <c r="M38" i="4"/>
  <c r="M39" i="4"/>
  <c r="M40" i="4"/>
  <c r="H31" i="4" s="1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P27" i="4"/>
  <c r="P28" i="4"/>
  <c r="P29" i="4"/>
  <c r="P30" i="4"/>
  <c r="O31" i="4"/>
  <c r="N32" i="4"/>
  <c r="S32" i="4" s="1"/>
  <c r="N33" i="4"/>
  <c r="S33" i="4" s="1"/>
  <c r="N34" i="4"/>
  <c r="S34" i="4" s="1"/>
  <c r="N35" i="4"/>
  <c r="S35" i="4" s="1"/>
  <c r="N36" i="4"/>
  <c r="S36" i="4" s="1"/>
  <c r="N37" i="4"/>
  <c r="S37" i="4" s="1"/>
  <c r="N38" i="4"/>
  <c r="S38" i="4" s="1"/>
  <c r="N39" i="4"/>
  <c r="S39" i="4" s="1"/>
  <c r="N40" i="4"/>
  <c r="S40" i="4" s="1"/>
  <c r="N41" i="4"/>
  <c r="S41" i="4" s="1"/>
  <c r="N42" i="4"/>
  <c r="S42" i="4" s="1"/>
  <c r="N43" i="4"/>
  <c r="S43" i="4" s="1"/>
  <c r="N44" i="4"/>
  <c r="S44" i="4" s="1"/>
  <c r="N45" i="4"/>
  <c r="S45" i="4" s="1"/>
  <c r="N46" i="4"/>
  <c r="S46" i="4" s="1"/>
  <c r="N47" i="4"/>
  <c r="S47" i="4" s="1"/>
  <c r="N48" i="4"/>
  <c r="S48" i="4" s="1"/>
  <c r="N49" i="4"/>
  <c r="S49" i="4" s="1"/>
  <c r="N50" i="4"/>
  <c r="S50" i="4" s="1"/>
  <c r="N51" i="4"/>
  <c r="S51" i="4" s="1"/>
  <c r="N52" i="4"/>
  <c r="S52" i="4" s="1"/>
  <c r="N53" i="4"/>
  <c r="S53" i="4" s="1"/>
  <c r="N54" i="4"/>
  <c r="S54" i="4" s="1"/>
  <c r="N55" i="4"/>
  <c r="S55" i="4" s="1"/>
  <c r="N56" i="4"/>
  <c r="S56" i="4" s="1"/>
  <c r="N57" i="4"/>
  <c r="S57" i="4" s="1"/>
  <c r="N58" i="4"/>
  <c r="S58" i="4" s="1"/>
  <c r="N59" i="4"/>
  <c r="S59" i="4" s="1"/>
  <c r="N60" i="4"/>
  <c r="S60" i="4" s="1"/>
  <c r="N61" i="4"/>
  <c r="S61" i="4" s="1"/>
  <c r="N62" i="4"/>
  <c r="S62" i="4" s="1"/>
  <c r="N63" i="4"/>
  <c r="S63" i="4" s="1"/>
  <c r="N64" i="4"/>
  <c r="S64" i="4" s="1"/>
  <c r="N65" i="4"/>
  <c r="S65" i="4" s="1"/>
  <c r="N66" i="4"/>
  <c r="S66" i="4" s="1"/>
  <c r="N67" i="4"/>
  <c r="S67" i="4" s="1"/>
  <c r="N68" i="4"/>
  <c r="S68" i="4" s="1"/>
  <c r="N69" i="4"/>
  <c r="S69" i="4" s="1"/>
  <c r="N70" i="4"/>
  <c r="S70" i="4" s="1"/>
  <c r="N71" i="4"/>
  <c r="S71" i="4" s="1"/>
  <c r="N72" i="4"/>
  <c r="S72" i="4" s="1"/>
  <c r="N73" i="4"/>
  <c r="S73" i="4" s="1"/>
  <c r="N74" i="4"/>
  <c r="S74" i="4" s="1"/>
  <c r="N75" i="4"/>
  <c r="S75" i="4" s="1"/>
  <c r="N76" i="4"/>
  <c r="S76" i="4" s="1"/>
  <c r="P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T27" i="4"/>
  <c r="T28" i="4"/>
  <c r="T29" i="4"/>
  <c r="T30" i="4"/>
  <c r="U27" i="4"/>
  <c r="U28" i="4"/>
  <c r="U29" i="4"/>
  <c r="U30" i="4"/>
  <c r="T31" i="4"/>
  <c r="M27" i="4"/>
  <c r="M28" i="4"/>
  <c r="M29" i="4"/>
  <c r="M30" i="4"/>
  <c r="U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N27" i="4"/>
  <c r="S27" i="4" s="1"/>
  <c r="N28" i="4"/>
  <c r="S28" i="4" s="1"/>
  <c r="N29" i="4"/>
  <c r="S29" i="4" s="1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H32" i="4" l="1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F15" i="1" l="1"/>
  <c r="X15" i="1"/>
  <c r="W15" i="1"/>
  <c r="L14" i="1"/>
  <c r="F14" i="1"/>
  <c r="X14" i="1"/>
  <c r="Z14" i="1" s="1"/>
  <c r="W14" i="1"/>
  <c r="Y14" i="1" s="1"/>
  <c r="L13" i="1"/>
  <c r="F13" i="1"/>
  <c r="X13" i="1"/>
  <c r="Z13" i="1" s="1"/>
  <c r="W13" i="1"/>
  <c r="Y13" i="1" s="1"/>
  <c r="L12" i="1"/>
  <c r="F12" i="1"/>
  <c r="X12" i="1"/>
  <c r="Z12" i="1" s="1"/>
  <c r="L11" i="1"/>
  <c r="F11" i="1"/>
  <c r="X11" i="1"/>
  <c r="Z11" i="1" s="1"/>
  <c r="X10" i="1"/>
  <c r="Z10" i="1" s="1"/>
  <c r="W10" i="1"/>
  <c r="Y10" i="1" s="1"/>
  <c r="L10" i="1"/>
  <c r="F10" i="1"/>
  <c r="X9" i="1"/>
  <c r="Z9" i="1" s="1"/>
  <c r="W9" i="1"/>
  <c r="Y9" i="1" s="1"/>
  <c r="L9" i="1"/>
  <c r="F9" i="1"/>
  <c r="X8" i="1"/>
  <c r="Z8" i="1" s="1"/>
  <c r="W8" i="1"/>
  <c r="Y8" i="1" s="1"/>
  <c r="L8" i="1"/>
  <c r="F8" i="1"/>
  <c r="F7" i="1"/>
  <c r="X6" i="1"/>
  <c r="Z6" i="1" s="1"/>
  <c r="W6" i="1"/>
  <c r="Y6" i="1" s="1"/>
  <c r="O6" i="1"/>
  <c r="L6" i="1"/>
  <c r="F6" i="1"/>
  <c r="X5" i="1"/>
  <c r="Z5" i="1" s="1"/>
  <c r="W5" i="1"/>
  <c r="Y5" i="1" s="1"/>
  <c r="O5" i="1"/>
  <c r="L5" i="1"/>
  <c r="F5" i="1"/>
  <c r="X4" i="1"/>
  <c r="Z4" i="1" s="1"/>
  <c r="W4" i="1"/>
  <c r="Y4" i="1" s="1"/>
  <c r="O4" i="1"/>
  <c r="L4" i="1"/>
  <c r="F4" i="1"/>
  <c r="O3" i="1"/>
  <c r="L3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AB354-76C7-6D4C-A52C-352E3198FA56}" name="20240208_20240410_HOBOchecks1" type="6" refreshedVersion="8" background="1" saveData="1">
    <textPr codePage="10000" sourceFile="/Users/sam/Dropbox/MS_Research_KrausSam/Fieldwork/SyntheticNests/20240208_20240410_HOBOchecks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F2E89CA-FBC4-D446-886F-83F9D971BAAD}" name="20241218_20250206_HOBOchecks" type="6" refreshedVersion="8" background="1" saveData="1">
    <textPr codePage="10000" sourceFile="/Users/sam/Dropbox/MS_Research_KrausSam/Fieldwork/SyntheticNests/20241218_20250206_HOBOchecks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<sst xmlns="http://schemas.openxmlformats.org/spreadsheetml/2006/main" count="163" uniqueCount="117">
  <si>
    <t>Date</t>
  </si>
  <si>
    <t>Nest</t>
  </si>
  <si>
    <t>L_cm</t>
  </si>
  <si>
    <t>W_cm</t>
  </si>
  <si>
    <t>H_cm</t>
  </si>
  <si>
    <t>h_cm_front</t>
  </si>
  <si>
    <t>h_cm_back</t>
  </si>
  <si>
    <t>h_cm_crest</t>
  </si>
  <si>
    <t>u_amb_m_s</t>
  </si>
  <si>
    <t>u_pk_m_s</t>
  </si>
  <si>
    <t>amp_check</t>
  </si>
  <si>
    <t>Erosion</t>
  </si>
  <si>
    <t>Notes</t>
  </si>
  <si>
    <t>h_amb_cm</t>
  </si>
  <si>
    <t>h_amb_cm_HOBO</t>
  </si>
  <si>
    <t>rev_amb</t>
  </si>
  <si>
    <t>sec_amb</t>
  </si>
  <si>
    <t>rev_pk</t>
  </si>
  <si>
    <t>sec_pk</t>
  </si>
  <si>
    <t>rod_amb_ft</t>
  </si>
  <si>
    <t>rod_pk_ft</t>
  </si>
  <si>
    <t>amb_check</t>
  </si>
  <si>
    <t>pk_check</t>
  </si>
  <si>
    <t>none</t>
  </si>
  <si>
    <t>~4.5m DS of HOBO; ~middle of XS width; filter fabric with 4 anchor cobbles; deployment</t>
  </si>
  <si>
    <t>Turbid flows; no significant erosion; a few white gravel scattered DS of nest, US of culvert</t>
  </si>
  <si>
    <t>full</t>
  </si>
  <si>
    <t>Hard to evaluate, turbid; clear erosion to L(looking DS) and DS, nest is elogated and widened to one side, overall flat; length and width judged based off of prevalence of white gravel on tarp; height from trying a few, all similar to 45cm; wavering felt in cylindrical aluminum rod, not sure if just from eddies following hexagonal rod</t>
  </si>
  <si>
    <t>Left US corner of fabric peeled up, affecting nest flows probably; white gravel found all the way to the culvert, ~10m DS of nest; "logger data corrupted", needs new batteries; clear erosion to L (looking DS) and DS, nest is elongated and widened to one side, overall flat; width judged based off of prevalence of whtie gravel on tarp; length almost immeasurable; height from trying a few, all similar to 16cm</t>
  </si>
  <si>
    <t>deployment</t>
  </si>
  <si>
    <t>No significant erosion, a few white pebbles found rolled off or slightly DS; erosion possibly just stabilization; neglected velocities due to thunder</t>
  </si>
  <si>
    <t>Low flow, white grains removed that had moved off of nest; crest depth =0.15ft but lowest rod goes is 0.2x0.6d</t>
  </si>
  <si>
    <t>Higher flow; not too turbid; fine tailing on wake of nest</t>
  </si>
  <si>
    <t>Not turbid; possibly longer tail on wake; a few small white grains found DS, removed; no significant erosion</t>
  </si>
  <si>
    <t>notes</t>
  </si>
  <si>
    <t>date</t>
  </si>
  <si>
    <t>nest</t>
  </si>
  <si>
    <t>facing_USDS</t>
  </si>
  <si>
    <t>water_temp_C</t>
  </si>
  <si>
    <t>nest_dim_L_cm</t>
  </si>
  <si>
    <t>nest_dim_W_cm</t>
  </si>
  <si>
    <t>nest_dim_H_cm</t>
  </si>
  <si>
    <t>nest_loc_x_cm</t>
  </si>
  <si>
    <t>just DS of XS</t>
  </si>
  <si>
    <t>nest_loc_y_cm</t>
  </si>
  <si>
    <t>y_cm</t>
  </si>
  <si>
    <t>min_y_cm</t>
  </si>
  <si>
    <t>y_m</t>
  </si>
  <si>
    <t>z_m</t>
  </si>
  <si>
    <t>WS_m</t>
  </si>
  <si>
    <t>thalweg?</t>
  </si>
  <si>
    <t>z_ws_m</t>
  </si>
  <si>
    <t>No erosion</t>
  </si>
  <si>
    <t>A lot of fine tailing; Going to rebuild nest; No erosion</t>
  </si>
  <si>
    <t>no significant erosion, maybe partial; good amout of fines, but not tail; maybe biofilms; 1 bar off on battery icon</t>
  </si>
  <si>
    <t>no significant erosion, maybe partial; good amout of fines, but not tail; maybe biofilms; 2 bars off on battery icon</t>
  </si>
  <si>
    <t>MM515-1</t>
  </si>
  <si>
    <t>US</t>
  </si>
  <si>
    <t>Offsets</t>
  </si>
  <si>
    <t>Change units and to absolute y vals; plot</t>
  </si>
  <si>
    <t>z_cm_WS-TL</t>
  </si>
  <si>
    <t>z_ft_TL-BL</t>
  </si>
  <si>
    <t>z_in_TL-BL</t>
  </si>
  <si>
    <t>TL-BL_correction_in</t>
  </si>
  <si>
    <t>z_m_WS-TL</t>
  </si>
  <si>
    <t>z_m_TL-BL</t>
  </si>
  <si>
    <t>diff_m</t>
  </si>
  <si>
    <t>correction -4/8in; y=0 at Trash Line start LOB; nearest 0.5 cm for WS-TL</t>
  </si>
  <si>
    <t>Average</t>
  </si>
  <si>
    <t>Facing US</t>
  </si>
  <si>
    <t>Facing DS</t>
  </si>
  <si>
    <t>z_ft</t>
  </si>
  <si>
    <t>z_in</t>
  </si>
  <si>
    <t>TL-BL_LOB_ft</t>
  </si>
  <si>
    <t>TL-BL_ROB_ft</t>
  </si>
  <si>
    <t>TW-TL_ft</t>
  </si>
  <si>
    <t>TL_m</t>
  </si>
  <si>
    <t>veg</t>
  </si>
  <si>
    <t>foot path</t>
  </si>
  <si>
    <t>Trash Line stake</t>
  </si>
  <si>
    <t>Bank Line</t>
  </si>
  <si>
    <t>Trash Line y=0 LOB</t>
  </si>
  <si>
    <t>lowest</t>
  </si>
  <si>
    <t>nest?</t>
  </si>
  <si>
    <t>log</t>
  </si>
  <si>
    <t>branches</t>
  </si>
  <si>
    <t>Trash Line, near stake</t>
  </si>
  <si>
    <t>Bank Line stake</t>
  </si>
  <si>
    <t>around thalweg, left of tire looking DS</t>
  </si>
  <si>
    <t>US of tire in thalweg, log LOB DS</t>
  </si>
  <si>
    <t>Recalibrate HOBO; New nest, at XS, combo of chub bucket gravel and hand-wet-sieved gravel</t>
  </si>
  <si>
    <t>partial</t>
  </si>
  <si>
    <t>No observed erosion; some fines film on top; tried to sweep off fines without touching with hand dragged through water; depth higher than usual; cleared woody debris upstream of nest to not affect data</t>
  </si>
  <si>
    <t>possible erosion; supercooled water, -1degC; stick tailing on nest; will recalibrate later maybe, HOBO might be in ice</t>
  </si>
  <si>
    <t>possible erosion; supercooled water, -0.2degC; stick tailing on nest</t>
  </si>
  <si>
    <t>does not seem eroded; stick tailing on nest</t>
  </si>
  <si>
    <t>assume full erosion</t>
  </si>
  <si>
    <t>assumed full erosion nest 4; new nest w maybe a bit much pea gravel; did best as could; let sit for 5 min before nest measurements; HOBOlogger PVC well's elastic bent during storm w debris</t>
  </si>
  <si>
    <t>maybe partial erosion; new nest after this</t>
  </si>
  <si>
    <t>HOBO checked at 14:07</t>
  </si>
  <si>
    <t>no erosion; stick tailing on nest; ice has encroached further into stream from banks maybe; HOBO frozen</t>
  </si>
  <si>
    <t>diff_amb</t>
  </si>
  <si>
    <t>diff_pk</t>
  </si>
  <si>
    <t>offset_nestDepth</t>
  </si>
  <si>
    <t>T_degC</t>
  </si>
  <si>
    <t>#</t>
  </si>
  <si>
    <t>Rh_ft</t>
  </si>
  <si>
    <t>tau_b_Rh</t>
  </si>
  <si>
    <t>tau_b_h</t>
  </si>
  <si>
    <t>tau_st_Rh</t>
  </si>
  <si>
    <t>tau_st_h</t>
  </si>
  <si>
    <t>Date-Time (EST)</t>
  </si>
  <si>
    <t>Ch:1 - Differential Pressure   (kpa)</t>
  </si>
  <si>
    <t>Ch:2 - Absolute Pressure   (kpa)</t>
  </si>
  <si>
    <t>Ch:3 - Temperature   (¬∞C)</t>
  </si>
  <si>
    <t>Water Level   (m)</t>
  </si>
  <si>
    <t>Barometric Pressure  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</si>
</sst>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"/>
    <numFmt numFmtId="165" formatCode="0.000"/>
    <numFmt numFmtId="166" formatCode="0.0"/>
  </numFmts>
  <fonts count="9" x14ac:knownFonts="1">
    <font>
      <sz val="10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0" fontId="1" fillId="0" borderId="0" xfId="0" applyFont="1"/>
    <xf numFmtId="165" fontId="6" fillId="0" borderId="0" xfId="0" applyNumberFormat="1" applyFont="1"/>
    <xf numFmtId="165" fontId="4" fillId="0" borderId="0" xfId="0" applyNumberFormat="1" applyFont="1"/>
    <xf numFmtId="14" fontId="1" fillId="0" borderId="0" xfId="0" applyNumberFormat="1" applyFont="1"/>
    <xf numFmtId="0" fontId="8" fillId="0" borderId="0" xfId="0" applyFont="1"/>
    <xf numFmtId="166" fontId="0" fillId="0" borderId="0" xfId="0" applyNumberFormat="1"/>
    <xf numFmtId="12" fontId="0" fillId="0" borderId="0" xfId="0" applyNumberFormat="1"/>
    <xf numFmtId="2" fontId="0" fillId="0" borderId="0" xfId="0" applyNumberFormat="1"/>
    <xf numFmtId="0" fontId="0" fillId="2" borderId="0" xfId="0" applyFill="1"/>
    <xf numFmtId="12" fontId="0" fillId="2" borderId="0" xfId="0" applyNumberFormat="1" applyFill="1"/>
    <xf numFmtId="12" fontId="0" fillId="0" borderId="0" xfId="0" applyNumberFormat="1" applyAlignment="1">
      <alignment horizontal="left"/>
    </xf>
    <xf numFmtId="2" fontId="0" fillId="5" borderId="0" xfId="0" applyNumberFormat="1" applyFill="1"/>
    <xf numFmtId="0" fontId="0" fillId="0" borderId="0" xfId="0" applyAlignment="1">
      <alignment horizontal="left"/>
    </xf>
    <xf numFmtId="0" fontId="0" fillId="6" borderId="0" xfId="0" applyFill="1"/>
    <xf numFmtId="2" fontId="0" fillId="6" borderId="0" xfId="0" applyNumberFormat="1" applyFill="1"/>
    <xf numFmtId="0" fontId="0" fillId="3" borderId="0" xfId="0" applyFill="1"/>
    <xf numFmtId="12" fontId="0" fillId="3" borderId="0" xfId="0" applyNumberFormat="1" applyFill="1"/>
    <xf numFmtId="0" fontId="0" fillId="4" borderId="0" xfId="0" applyFill="1"/>
    <xf numFmtId="12" fontId="0" fillId="4" borderId="0" xfId="0" applyNumberFormat="1" applyFill="1"/>
    <xf numFmtId="2" fontId="0" fillId="4" borderId="0" xfId="0" applyNumberFormat="1" applyFill="1"/>
    <xf numFmtId="2" fontId="7" fillId="0" borderId="0" xfId="0" applyNumberFormat="1" applyFont="1"/>
    <xf numFmtId="0" fontId="7" fillId="0" borderId="0" xfId="0" applyFont="1"/>
    <xf numFmtId="2" fontId="4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Offsets, facing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'[1]XS_8_MM515-1'!$O$14</c:f>
              <c:strCache>
                <c:ptCount val="1"/>
                <c:pt idx="0">
                  <c:v>z_m_WS-TL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'[1]XS_8_MM515-1'!$N$15:$N$21</c:f>
              <c:numCache>
                <c:formatCode>General</c:formatCode>
                <c:ptCount val="7"/>
                <c:pt idx="0">
                  <c:v>0.2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'[1]XS_8_MM515-1'!$O$15:$O$21</c:f>
              <c:numCache>
                <c:formatCode>General</c:formatCode>
                <c:ptCount val="7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4-FE42-A875-C6B619E5E5FC}"/>
            </c:ext>
          </c:extLst>
        </c:ser>
        <c:ser>
          <c:idx val="1"/>
          <c:order val="1"/>
          <c:tx>
            <c:strRef>
              <c:f>'[1]XS_8_MM515-1'!$P$14</c:f>
              <c:strCache>
                <c:ptCount val="1"/>
                <c:pt idx="0">
                  <c:v>z_m_TL-BL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'[1]XS_8_MM515-1'!$N$15:$N$21</c:f>
              <c:numCache>
                <c:formatCode>General</c:formatCode>
                <c:ptCount val="7"/>
                <c:pt idx="0">
                  <c:v>0.2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'[1]XS_8_MM515-1'!$P$15:$P$21</c:f>
              <c:numCache>
                <c:formatCode>General</c:formatCode>
                <c:ptCount val="7"/>
                <c:pt idx="0">
                  <c:v>0.9207050695926039</c:v>
                </c:pt>
                <c:pt idx="1">
                  <c:v>0.9207050695926039</c:v>
                </c:pt>
                <c:pt idx="2">
                  <c:v>0.91753022452504318</c:v>
                </c:pt>
                <c:pt idx="3">
                  <c:v>0.91435537945748246</c:v>
                </c:pt>
                <c:pt idx="4">
                  <c:v>0.91753022452504318</c:v>
                </c:pt>
                <c:pt idx="5">
                  <c:v>0.9207050695926039</c:v>
                </c:pt>
                <c:pt idx="6">
                  <c:v>0.9207050695926039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4-FE42-A875-C6B619E5E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899055"/>
        <c:axId val="1393474415"/>
      </c:scatterChart>
      <c:valAx>
        <c:axId val="139289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lateral</a:t>
                </a:r>
                <a:r>
                  <a:rPr lang="en-US" baseline="0"/>
                  <a:t> station, y=0 at TL LOB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74415"/>
        <c:crosses val="autoZero"/>
        <c:crossBetween val="midCat"/>
      </c:valAx>
      <c:valAx>
        <c:axId val="139347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</a:t>
                </a:r>
                <a:r>
                  <a:rPr lang="en-US" baseline="0"/>
                  <a:t> elevation, z=0 at TW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9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XS, facing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'[1]XS_8_MM515-1'!$N$26</c:f>
              <c:strCache>
                <c:ptCount val="1"/>
                <c:pt idx="0">
                  <c:v>z_m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'[1]XS_8_MM515-1'!$M$27:$M$77</c:f>
              <c:numCache>
                <c:formatCode>General</c:formatCode>
                <c:ptCount val="51"/>
                <c:pt idx="0">
                  <c:v>0</c:v>
                </c:pt>
                <c:pt idx="1">
                  <c:v>0.17</c:v>
                </c:pt>
                <c:pt idx="2">
                  <c:v>0.37</c:v>
                </c:pt>
                <c:pt idx="3">
                  <c:v>0.56999999999999995</c:v>
                </c:pt>
                <c:pt idx="4">
                  <c:v>0.77</c:v>
                </c:pt>
                <c:pt idx="5">
                  <c:v>0.97</c:v>
                </c:pt>
                <c:pt idx="6">
                  <c:v>1.17</c:v>
                </c:pt>
                <c:pt idx="7">
                  <c:v>1.37</c:v>
                </c:pt>
                <c:pt idx="8">
                  <c:v>1.57</c:v>
                </c:pt>
                <c:pt idx="9">
                  <c:v>1.77</c:v>
                </c:pt>
                <c:pt idx="10">
                  <c:v>1.97</c:v>
                </c:pt>
                <c:pt idx="11">
                  <c:v>2.17</c:v>
                </c:pt>
                <c:pt idx="12">
                  <c:v>2.34</c:v>
                </c:pt>
                <c:pt idx="13">
                  <c:v>2.34</c:v>
                </c:pt>
                <c:pt idx="14">
                  <c:v>2.54</c:v>
                </c:pt>
                <c:pt idx="15">
                  <c:v>2.74</c:v>
                </c:pt>
                <c:pt idx="16">
                  <c:v>2.94</c:v>
                </c:pt>
                <c:pt idx="17">
                  <c:v>3.14</c:v>
                </c:pt>
                <c:pt idx="18">
                  <c:v>3.34</c:v>
                </c:pt>
                <c:pt idx="19">
                  <c:v>3.54</c:v>
                </c:pt>
                <c:pt idx="20">
                  <c:v>3.74</c:v>
                </c:pt>
                <c:pt idx="21">
                  <c:v>3.94</c:v>
                </c:pt>
                <c:pt idx="22">
                  <c:v>4.1399999999999997</c:v>
                </c:pt>
                <c:pt idx="23">
                  <c:v>4.34</c:v>
                </c:pt>
                <c:pt idx="24">
                  <c:v>4.54</c:v>
                </c:pt>
                <c:pt idx="25">
                  <c:v>4.74</c:v>
                </c:pt>
                <c:pt idx="26">
                  <c:v>4.9400000000000004</c:v>
                </c:pt>
                <c:pt idx="27">
                  <c:v>5.14</c:v>
                </c:pt>
                <c:pt idx="28">
                  <c:v>5.34</c:v>
                </c:pt>
                <c:pt idx="29">
                  <c:v>5.54</c:v>
                </c:pt>
                <c:pt idx="30">
                  <c:v>5.74</c:v>
                </c:pt>
                <c:pt idx="31">
                  <c:v>5.94</c:v>
                </c:pt>
                <c:pt idx="32">
                  <c:v>6.14</c:v>
                </c:pt>
                <c:pt idx="33">
                  <c:v>6.34</c:v>
                </c:pt>
                <c:pt idx="34">
                  <c:v>6.54</c:v>
                </c:pt>
                <c:pt idx="35">
                  <c:v>6.74</c:v>
                </c:pt>
                <c:pt idx="36">
                  <c:v>6.94</c:v>
                </c:pt>
                <c:pt idx="37">
                  <c:v>7.14</c:v>
                </c:pt>
                <c:pt idx="38">
                  <c:v>7.34</c:v>
                </c:pt>
                <c:pt idx="39">
                  <c:v>7.54</c:v>
                </c:pt>
                <c:pt idx="40">
                  <c:v>7.74</c:v>
                </c:pt>
                <c:pt idx="41">
                  <c:v>7.94</c:v>
                </c:pt>
                <c:pt idx="42">
                  <c:v>8.14</c:v>
                </c:pt>
                <c:pt idx="43">
                  <c:v>8.34</c:v>
                </c:pt>
                <c:pt idx="44">
                  <c:v>8.5399999999999991</c:v>
                </c:pt>
                <c:pt idx="45">
                  <c:v>8.5399999999999991</c:v>
                </c:pt>
                <c:pt idx="46">
                  <c:v>8.58</c:v>
                </c:pt>
                <c:pt idx="47">
                  <c:v>8.7799999999999994</c:v>
                </c:pt>
                <c:pt idx="48">
                  <c:v>8.98</c:v>
                </c:pt>
                <c:pt idx="49">
                  <c:v>9.18</c:v>
                </c:pt>
                <c:pt idx="50">
                  <c:v>9.25</c:v>
                </c:pt>
              </c:numCache>
            </c:numRef>
          </c:xVal>
          <c:yVal>
            <c:numRef>
              <c:f>'[1]XS_8_MM515-1'!$N$27:$N$77</c:f>
              <c:numCache>
                <c:formatCode>General</c:formatCode>
                <c:ptCount val="51"/>
                <c:pt idx="0">
                  <c:v>1.4858274916184089</c:v>
                </c:pt>
                <c:pt idx="1">
                  <c:v>1.4763029564157268</c:v>
                </c:pt>
                <c:pt idx="2">
                  <c:v>1.4699532662806056</c:v>
                </c:pt>
                <c:pt idx="3">
                  <c:v>1.4509041958752413</c:v>
                </c:pt>
                <c:pt idx="4">
                  <c:v>1.422330590267195</c:v>
                </c:pt>
                <c:pt idx="5">
                  <c:v>1.422330590267195</c:v>
                </c:pt>
                <c:pt idx="6">
                  <c:v>1.4255054353347556</c:v>
                </c:pt>
                <c:pt idx="7">
                  <c:v>1.387407294524027</c:v>
                </c:pt>
                <c:pt idx="8">
                  <c:v>1.2889870974296456</c:v>
                </c:pt>
                <c:pt idx="9">
                  <c:v>1.0603982525652749</c:v>
                </c:pt>
                <c:pt idx="10">
                  <c:v>0.84768363303870764</c:v>
                </c:pt>
                <c:pt idx="11">
                  <c:v>0.66354261912018697</c:v>
                </c:pt>
                <c:pt idx="12">
                  <c:v>0.27621152087778117</c:v>
                </c:pt>
                <c:pt idx="13">
                  <c:v>0.27621152087778117</c:v>
                </c:pt>
                <c:pt idx="14">
                  <c:v>0.15556740831047447</c:v>
                </c:pt>
                <c:pt idx="15">
                  <c:v>8.2545971756578324E-2</c:v>
                </c:pt>
                <c:pt idx="16">
                  <c:v>6.6671746418774755E-2</c:v>
                </c:pt>
                <c:pt idx="17">
                  <c:v>4.4447830945849885E-2</c:v>
                </c:pt>
                <c:pt idx="18">
                  <c:v>3.1748450675606985E-2</c:v>
                </c:pt>
                <c:pt idx="19">
                  <c:v>1.2699380270242767E-2</c:v>
                </c:pt>
                <c:pt idx="20">
                  <c:v>0</c:v>
                </c:pt>
                <c:pt idx="21">
                  <c:v>3.1748450675606579E-3</c:v>
                </c:pt>
                <c:pt idx="22">
                  <c:v>9.5245352026821078E-3</c:v>
                </c:pt>
                <c:pt idx="23">
                  <c:v>6.3496901351214512E-3</c:v>
                </c:pt>
                <c:pt idx="24">
                  <c:v>1.2699380270242767E-2</c:v>
                </c:pt>
                <c:pt idx="25">
                  <c:v>9.5245352026821078E-3</c:v>
                </c:pt>
                <c:pt idx="26">
                  <c:v>9.5245352026821078E-3</c:v>
                </c:pt>
                <c:pt idx="27">
                  <c:v>1.2699380270242767E-2</c:v>
                </c:pt>
                <c:pt idx="28">
                  <c:v>9.5245352026821078E-3</c:v>
                </c:pt>
                <c:pt idx="29">
                  <c:v>2.8573605608046327E-2</c:v>
                </c:pt>
                <c:pt idx="30">
                  <c:v>1.5874225337803558E-2</c:v>
                </c:pt>
                <c:pt idx="31">
                  <c:v>3.1748450675606985E-2</c:v>
                </c:pt>
                <c:pt idx="32">
                  <c:v>4.4447830945849885E-2</c:v>
                </c:pt>
                <c:pt idx="33">
                  <c:v>5.3972366148531993E-2</c:v>
                </c:pt>
                <c:pt idx="34">
                  <c:v>5.3972366148531993E-2</c:v>
                </c:pt>
                <c:pt idx="35">
                  <c:v>6.3496901351214108E-2</c:v>
                </c:pt>
                <c:pt idx="36">
                  <c:v>6.0322056283653308E-2</c:v>
                </c:pt>
                <c:pt idx="37">
                  <c:v>7.3021436553896216E-2</c:v>
                </c:pt>
                <c:pt idx="38">
                  <c:v>9.5245352026821092E-2</c:v>
                </c:pt>
                <c:pt idx="39">
                  <c:v>9.8420197094381809E-2</c:v>
                </c:pt>
                <c:pt idx="40">
                  <c:v>0.14921771817535301</c:v>
                </c:pt>
                <c:pt idx="41">
                  <c:v>0.16509194351315656</c:v>
                </c:pt>
                <c:pt idx="42">
                  <c:v>0.23493853499949199</c:v>
                </c:pt>
                <c:pt idx="43">
                  <c:v>0.33018388702631313</c:v>
                </c:pt>
                <c:pt idx="44">
                  <c:v>0.4190795489180128</c:v>
                </c:pt>
                <c:pt idx="45">
                  <c:v>0.41907954891801291</c:v>
                </c:pt>
                <c:pt idx="46">
                  <c:v>0.55559788682312328</c:v>
                </c:pt>
                <c:pt idx="47">
                  <c:v>1.0000761962816216</c:v>
                </c:pt>
                <c:pt idx="48">
                  <c:v>1.1905669003352637</c:v>
                </c:pt>
                <c:pt idx="49">
                  <c:v>1.371533069186224</c:v>
                </c:pt>
                <c:pt idx="50">
                  <c:v>1.4636035761454842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8-DD44-B638-2B37E737BC5B}"/>
            </c:ext>
          </c:extLst>
        </c:ser>
        <c:ser>
          <c:idx val="1"/>
          <c:order val="1"/>
          <c:tx>
            <c:strRef>
              <c:f>'[1]XS_8_MM515-1'!$O$26</c:f>
              <c:strCache>
                <c:ptCount val="1"/>
                <c:pt idx="0">
                  <c:v>WS_m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'[1]XS_8_MM515-1'!$M$27:$M$77</c:f>
              <c:numCache>
                <c:formatCode>General</c:formatCode>
                <c:ptCount val="51"/>
                <c:pt idx="0">
                  <c:v>0</c:v>
                </c:pt>
                <c:pt idx="1">
                  <c:v>0.17</c:v>
                </c:pt>
                <c:pt idx="2">
                  <c:v>0.37</c:v>
                </c:pt>
                <c:pt idx="3">
                  <c:v>0.56999999999999995</c:v>
                </c:pt>
                <c:pt idx="4">
                  <c:v>0.77</c:v>
                </c:pt>
                <c:pt idx="5">
                  <c:v>0.97</c:v>
                </c:pt>
                <c:pt idx="6">
                  <c:v>1.17</c:v>
                </c:pt>
                <c:pt idx="7">
                  <c:v>1.37</c:v>
                </c:pt>
                <c:pt idx="8">
                  <c:v>1.57</c:v>
                </c:pt>
                <c:pt idx="9">
                  <c:v>1.77</c:v>
                </c:pt>
                <c:pt idx="10">
                  <c:v>1.97</c:v>
                </c:pt>
                <c:pt idx="11">
                  <c:v>2.17</c:v>
                </c:pt>
                <c:pt idx="12">
                  <c:v>2.34</c:v>
                </c:pt>
                <c:pt idx="13">
                  <c:v>2.34</c:v>
                </c:pt>
                <c:pt idx="14">
                  <c:v>2.54</c:v>
                </c:pt>
                <c:pt idx="15">
                  <c:v>2.74</c:v>
                </c:pt>
                <c:pt idx="16">
                  <c:v>2.94</c:v>
                </c:pt>
                <c:pt idx="17">
                  <c:v>3.14</c:v>
                </c:pt>
                <c:pt idx="18">
                  <c:v>3.34</c:v>
                </c:pt>
                <c:pt idx="19">
                  <c:v>3.54</c:v>
                </c:pt>
                <c:pt idx="20">
                  <c:v>3.74</c:v>
                </c:pt>
                <c:pt idx="21">
                  <c:v>3.94</c:v>
                </c:pt>
                <c:pt idx="22">
                  <c:v>4.1399999999999997</c:v>
                </c:pt>
                <c:pt idx="23">
                  <c:v>4.34</c:v>
                </c:pt>
                <c:pt idx="24">
                  <c:v>4.54</c:v>
                </c:pt>
                <c:pt idx="25">
                  <c:v>4.74</c:v>
                </c:pt>
                <c:pt idx="26">
                  <c:v>4.9400000000000004</c:v>
                </c:pt>
                <c:pt idx="27">
                  <c:v>5.14</c:v>
                </c:pt>
                <c:pt idx="28">
                  <c:v>5.34</c:v>
                </c:pt>
                <c:pt idx="29">
                  <c:v>5.54</c:v>
                </c:pt>
                <c:pt idx="30">
                  <c:v>5.74</c:v>
                </c:pt>
                <c:pt idx="31">
                  <c:v>5.94</c:v>
                </c:pt>
                <c:pt idx="32">
                  <c:v>6.14</c:v>
                </c:pt>
                <c:pt idx="33">
                  <c:v>6.34</c:v>
                </c:pt>
                <c:pt idx="34">
                  <c:v>6.54</c:v>
                </c:pt>
                <c:pt idx="35">
                  <c:v>6.74</c:v>
                </c:pt>
                <c:pt idx="36">
                  <c:v>6.94</c:v>
                </c:pt>
                <c:pt idx="37">
                  <c:v>7.14</c:v>
                </c:pt>
                <c:pt idx="38">
                  <c:v>7.34</c:v>
                </c:pt>
                <c:pt idx="39">
                  <c:v>7.54</c:v>
                </c:pt>
                <c:pt idx="40">
                  <c:v>7.74</c:v>
                </c:pt>
                <c:pt idx="41">
                  <c:v>7.94</c:v>
                </c:pt>
                <c:pt idx="42">
                  <c:v>8.14</c:v>
                </c:pt>
                <c:pt idx="43">
                  <c:v>8.34</c:v>
                </c:pt>
                <c:pt idx="44">
                  <c:v>8.5399999999999991</c:v>
                </c:pt>
                <c:pt idx="45">
                  <c:v>8.5399999999999991</c:v>
                </c:pt>
                <c:pt idx="46">
                  <c:v>8.58</c:v>
                </c:pt>
                <c:pt idx="47">
                  <c:v>8.7799999999999994</c:v>
                </c:pt>
                <c:pt idx="48">
                  <c:v>8.98</c:v>
                </c:pt>
                <c:pt idx="49">
                  <c:v>9.18</c:v>
                </c:pt>
                <c:pt idx="50">
                  <c:v>9.25</c:v>
                </c:pt>
              </c:numCache>
            </c:numRef>
          </c:xVal>
          <c:yVal>
            <c:numRef>
              <c:f>'[1]XS_8_MM515-1'!$O$27:$O$77</c:f>
              <c:numCache>
                <c:formatCode>General</c:formatCode>
                <c:ptCount val="51"/>
                <c:pt idx="0">
                  <c:v>0.19289850655288016</c:v>
                </c:pt>
                <c:pt idx="1">
                  <c:v>0.19289850655288016</c:v>
                </c:pt>
                <c:pt idx="2">
                  <c:v>0.19289850655288016</c:v>
                </c:pt>
                <c:pt idx="3">
                  <c:v>0.19289850655288016</c:v>
                </c:pt>
                <c:pt idx="4">
                  <c:v>0.19289850655288016</c:v>
                </c:pt>
                <c:pt idx="5">
                  <c:v>0.19289850655288016</c:v>
                </c:pt>
                <c:pt idx="6">
                  <c:v>0.19289850655288016</c:v>
                </c:pt>
                <c:pt idx="7">
                  <c:v>0.19289850655288016</c:v>
                </c:pt>
                <c:pt idx="8">
                  <c:v>0.19289850655288016</c:v>
                </c:pt>
                <c:pt idx="9">
                  <c:v>0.19289850655288016</c:v>
                </c:pt>
                <c:pt idx="10">
                  <c:v>0.19289850655288016</c:v>
                </c:pt>
                <c:pt idx="11">
                  <c:v>0.19289850655288016</c:v>
                </c:pt>
                <c:pt idx="12">
                  <c:v>0.19289850655288016</c:v>
                </c:pt>
                <c:pt idx="13">
                  <c:v>0.19289850655288016</c:v>
                </c:pt>
                <c:pt idx="14">
                  <c:v>0.19289850655288016</c:v>
                </c:pt>
                <c:pt idx="15">
                  <c:v>0.19289850655288016</c:v>
                </c:pt>
                <c:pt idx="16">
                  <c:v>0.19289850655288016</c:v>
                </c:pt>
                <c:pt idx="17">
                  <c:v>0.19289850655288016</c:v>
                </c:pt>
                <c:pt idx="18">
                  <c:v>0.19289850655288016</c:v>
                </c:pt>
                <c:pt idx="19">
                  <c:v>0.19289850655288016</c:v>
                </c:pt>
                <c:pt idx="20">
                  <c:v>0.19289850655288016</c:v>
                </c:pt>
                <c:pt idx="21">
                  <c:v>0.19289850655288016</c:v>
                </c:pt>
                <c:pt idx="22">
                  <c:v>0.19289850655288016</c:v>
                </c:pt>
                <c:pt idx="23">
                  <c:v>0.19289850655288016</c:v>
                </c:pt>
                <c:pt idx="24">
                  <c:v>0.19289850655288016</c:v>
                </c:pt>
                <c:pt idx="25">
                  <c:v>0.19289850655288016</c:v>
                </c:pt>
                <c:pt idx="26">
                  <c:v>0.19289850655288016</c:v>
                </c:pt>
                <c:pt idx="27">
                  <c:v>0.19289850655288016</c:v>
                </c:pt>
                <c:pt idx="28">
                  <c:v>0.19289850655288016</c:v>
                </c:pt>
                <c:pt idx="29">
                  <c:v>0.19289850655288016</c:v>
                </c:pt>
                <c:pt idx="30">
                  <c:v>0.19289850655288016</c:v>
                </c:pt>
                <c:pt idx="31">
                  <c:v>0.19289850655288016</c:v>
                </c:pt>
                <c:pt idx="32">
                  <c:v>0.19289850655288016</c:v>
                </c:pt>
                <c:pt idx="33">
                  <c:v>0.19289850655288016</c:v>
                </c:pt>
                <c:pt idx="34">
                  <c:v>0.19289850655288016</c:v>
                </c:pt>
                <c:pt idx="35">
                  <c:v>0.19289850655288016</c:v>
                </c:pt>
                <c:pt idx="36">
                  <c:v>0.19289850655288016</c:v>
                </c:pt>
                <c:pt idx="37">
                  <c:v>0.19289850655288016</c:v>
                </c:pt>
                <c:pt idx="38">
                  <c:v>0.19289850655288016</c:v>
                </c:pt>
                <c:pt idx="39">
                  <c:v>0.19289850655288016</c:v>
                </c:pt>
                <c:pt idx="40">
                  <c:v>0.19289850655288016</c:v>
                </c:pt>
                <c:pt idx="41">
                  <c:v>0.19289850655288016</c:v>
                </c:pt>
                <c:pt idx="42">
                  <c:v>0.19289850655288016</c:v>
                </c:pt>
                <c:pt idx="43">
                  <c:v>0.19289850655288016</c:v>
                </c:pt>
                <c:pt idx="44">
                  <c:v>0.19289850655288016</c:v>
                </c:pt>
                <c:pt idx="45">
                  <c:v>0.19289850655288016</c:v>
                </c:pt>
                <c:pt idx="46">
                  <c:v>0.19289850655288016</c:v>
                </c:pt>
                <c:pt idx="47">
                  <c:v>0.19289850655288016</c:v>
                </c:pt>
                <c:pt idx="48">
                  <c:v>0.19289850655288016</c:v>
                </c:pt>
                <c:pt idx="49">
                  <c:v>0.19289850655288016</c:v>
                </c:pt>
                <c:pt idx="50">
                  <c:v>0.19289850655288016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E8-DD44-B638-2B37E737BC5B}"/>
            </c:ext>
          </c:extLst>
        </c:ser>
        <c:ser>
          <c:idx val="2"/>
          <c:order val="2"/>
          <c:tx>
            <c:strRef>
              <c:f>'[1]XS_8_MM515-1'!$P$26</c:f>
              <c:strCache>
                <c:ptCount val="1"/>
                <c:pt idx="0">
                  <c:v>TL_m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'[1]XS_8_MM515-1'!$M$27:$M$77</c:f>
              <c:numCache>
                <c:formatCode>General</c:formatCode>
                <c:ptCount val="51"/>
                <c:pt idx="0">
                  <c:v>0</c:v>
                </c:pt>
                <c:pt idx="1">
                  <c:v>0.17</c:v>
                </c:pt>
                <c:pt idx="2">
                  <c:v>0.37</c:v>
                </c:pt>
                <c:pt idx="3">
                  <c:v>0.56999999999999995</c:v>
                </c:pt>
                <c:pt idx="4">
                  <c:v>0.77</c:v>
                </c:pt>
                <c:pt idx="5">
                  <c:v>0.97</c:v>
                </c:pt>
                <c:pt idx="6">
                  <c:v>1.17</c:v>
                </c:pt>
                <c:pt idx="7">
                  <c:v>1.37</c:v>
                </c:pt>
                <c:pt idx="8">
                  <c:v>1.57</c:v>
                </c:pt>
                <c:pt idx="9">
                  <c:v>1.77</c:v>
                </c:pt>
                <c:pt idx="10">
                  <c:v>1.97</c:v>
                </c:pt>
                <c:pt idx="11">
                  <c:v>2.17</c:v>
                </c:pt>
                <c:pt idx="12">
                  <c:v>2.34</c:v>
                </c:pt>
                <c:pt idx="13">
                  <c:v>2.34</c:v>
                </c:pt>
                <c:pt idx="14">
                  <c:v>2.54</c:v>
                </c:pt>
                <c:pt idx="15">
                  <c:v>2.74</c:v>
                </c:pt>
                <c:pt idx="16">
                  <c:v>2.94</c:v>
                </c:pt>
                <c:pt idx="17">
                  <c:v>3.14</c:v>
                </c:pt>
                <c:pt idx="18">
                  <c:v>3.34</c:v>
                </c:pt>
                <c:pt idx="19">
                  <c:v>3.54</c:v>
                </c:pt>
                <c:pt idx="20">
                  <c:v>3.74</c:v>
                </c:pt>
                <c:pt idx="21">
                  <c:v>3.94</c:v>
                </c:pt>
                <c:pt idx="22">
                  <c:v>4.1399999999999997</c:v>
                </c:pt>
                <c:pt idx="23">
                  <c:v>4.34</c:v>
                </c:pt>
                <c:pt idx="24">
                  <c:v>4.54</c:v>
                </c:pt>
                <c:pt idx="25">
                  <c:v>4.74</c:v>
                </c:pt>
                <c:pt idx="26">
                  <c:v>4.9400000000000004</c:v>
                </c:pt>
                <c:pt idx="27">
                  <c:v>5.14</c:v>
                </c:pt>
                <c:pt idx="28">
                  <c:v>5.34</c:v>
                </c:pt>
                <c:pt idx="29">
                  <c:v>5.54</c:v>
                </c:pt>
                <c:pt idx="30">
                  <c:v>5.74</c:v>
                </c:pt>
                <c:pt idx="31">
                  <c:v>5.94</c:v>
                </c:pt>
                <c:pt idx="32">
                  <c:v>6.14</c:v>
                </c:pt>
                <c:pt idx="33">
                  <c:v>6.34</c:v>
                </c:pt>
                <c:pt idx="34">
                  <c:v>6.54</c:v>
                </c:pt>
                <c:pt idx="35">
                  <c:v>6.74</c:v>
                </c:pt>
                <c:pt idx="36">
                  <c:v>6.94</c:v>
                </c:pt>
                <c:pt idx="37">
                  <c:v>7.14</c:v>
                </c:pt>
                <c:pt idx="38">
                  <c:v>7.34</c:v>
                </c:pt>
                <c:pt idx="39">
                  <c:v>7.54</c:v>
                </c:pt>
                <c:pt idx="40">
                  <c:v>7.74</c:v>
                </c:pt>
                <c:pt idx="41">
                  <c:v>7.94</c:v>
                </c:pt>
                <c:pt idx="42">
                  <c:v>8.14</c:v>
                </c:pt>
                <c:pt idx="43">
                  <c:v>8.34</c:v>
                </c:pt>
                <c:pt idx="44">
                  <c:v>8.5399999999999991</c:v>
                </c:pt>
                <c:pt idx="45">
                  <c:v>8.5399999999999991</c:v>
                </c:pt>
                <c:pt idx="46">
                  <c:v>8.58</c:v>
                </c:pt>
                <c:pt idx="47">
                  <c:v>8.7799999999999994</c:v>
                </c:pt>
                <c:pt idx="48">
                  <c:v>8.98</c:v>
                </c:pt>
                <c:pt idx="49">
                  <c:v>9.18</c:v>
                </c:pt>
                <c:pt idx="50">
                  <c:v>9.25</c:v>
                </c:pt>
              </c:numCache>
            </c:numRef>
          </c:xVal>
          <c:yVal>
            <c:numRef>
              <c:f>'[1]XS_8_MM515-1'!$P$27:$P$77</c:f>
              <c:numCache>
                <c:formatCode>General</c:formatCode>
                <c:ptCount val="51"/>
                <c:pt idx="0">
                  <c:v>0.54289850655288019</c:v>
                </c:pt>
                <c:pt idx="1">
                  <c:v>0.54289850655288019</c:v>
                </c:pt>
                <c:pt idx="2">
                  <c:v>0.54289850655288019</c:v>
                </c:pt>
                <c:pt idx="3">
                  <c:v>0.54289850655288019</c:v>
                </c:pt>
                <c:pt idx="4">
                  <c:v>0.54289850655288019</c:v>
                </c:pt>
                <c:pt idx="5">
                  <c:v>0.54289850655288019</c:v>
                </c:pt>
                <c:pt idx="6">
                  <c:v>0.54289850655288019</c:v>
                </c:pt>
                <c:pt idx="7">
                  <c:v>0.54289850655288019</c:v>
                </c:pt>
                <c:pt idx="8">
                  <c:v>0.54289850655288019</c:v>
                </c:pt>
                <c:pt idx="9">
                  <c:v>0.54289850655288019</c:v>
                </c:pt>
                <c:pt idx="10">
                  <c:v>0.54289850655288019</c:v>
                </c:pt>
                <c:pt idx="11">
                  <c:v>0.54289850655288019</c:v>
                </c:pt>
                <c:pt idx="12">
                  <c:v>0.54289850655288019</c:v>
                </c:pt>
                <c:pt idx="13">
                  <c:v>0.54289850655288019</c:v>
                </c:pt>
                <c:pt idx="14">
                  <c:v>0.54289850655288019</c:v>
                </c:pt>
                <c:pt idx="15">
                  <c:v>0.54289850655288019</c:v>
                </c:pt>
                <c:pt idx="16">
                  <c:v>0.54289850655288019</c:v>
                </c:pt>
                <c:pt idx="17">
                  <c:v>0.54289850655288019</c:v>
                </c:pt>
                <c:pt idx="18">
                  <c:v>0.54289850655288019</c:v>
                </c:pt>
                <c:pt idx="19">
                  <c:v>0.54289850655288019</c:v>
                </c:pt>
                <c:pt idx="20">
                  <c:v>0.54289850655288019</c:v>
                </c:pt>
                <c:pt idx="21">
                  <c:v>0.54289850655288019</c:v>
                </c:pt>
                <c:pt idx="22">
                  <c:v>0.54289850655288019</c:v>
                </c:pt>
                <c:pt idx="23">
                  <c:v>0.54289850655288019</c:v>
                </c:pt>
                <c:pt idx="24">
                  <c:v>0.54289850655288019</c:v>
                </c:pt>
                <c:pt idx="25">
                  <c:v>0.54289850655288019</c:v>
                </c:pt>
                <c:pt idx="26">
                  <c:v>0.54289850655288019</c:v>
                </c:pt>
                <c:pt idx="27">
                  <c:v>0.54289850655288019</c:v>
                </c:pt>
                <c:pt idx="28">
                  <c:v>0.54289850655288019</c:v>
                </c:pt>
                <c:pt idx="29">
                  <c:v>0.54289850655288019</c:v>
                </c:pt>
                <c:pt idx="30">
                  <c:v>0.54289850655288019</c:v>
                </c:pt>
                <c:pt idx="31">
                  <c:v>0.54289850655288019</c:v>
                </c:pt>
                <c:pt idx="32">
                  <c:v>0.54289850655288019</c:v>
                </c:pt>
                <c:pt idx="33">
                  <c:v>0.54289850655288019</c:v>
                </c:pt>
                <c:pt idx="34">
                  <c:v>0.54289850655288019</c:v>
                </c:pt>
                <c:pt idx="35">
                  <c:v>0.54289850655288019</c:v>
                </c:pt>
                <c:pt idx="36">
                  <c:v>0.54289850655288019</c:v>
                </c:pt>
                <c:pt idx="37">
                  <c:v>0.54289850655288019</c:v>
                </c:pt>
                <c:pt idx="38">
                  <c:v>0.54289850655288019</c:v>
                </c:pt>
                <c:pt idx="39">
                  <c:v>0.54289850655288019</c:v>
                </c:pt>
                <c:pt idx="40">
                  <c:v>0.54289850655288019</c:v>
                </c:pt>
                <c:pt idx="41">
                  <c:v>0.54289850655288019</c:v>
                </c:pt>
                <c:pt idx="42">
                  <c:v>0.54289850655288019</c:v>
                </c:pt>
                <c:pt idx="43">
                  <c:v>0.54289850655288019</c:v>
                </c:pt>
                <c:pt idx="44">
                  <c:v>0.54289850655288019</c:v>
                </c:pt>
                <c:pt idx="45">
                  <c:v>0.54289850655288019</c:v>
                </c:pt>
                <c:pt idx="46">
                  <c:v>0.54289850655288019</c:v>
                </c:pt>
                <c:pt idx="47">
                  <c:v>0.54289850655288019</c:v>
                </c:pt>
                <c:pt idx="48">
                  <c:v>0.54289850655288019</c:v>
                </c:pt>
                <c:pt idx="49">
                  <c:v>0.54289850655288019</c:v>
                </c:pt>
                <c:pt idx="50">
                  <c:v>0.54289850655288019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E8-DD44-B638-2B37E737B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08847"/>
        <c:axId val="1419811967"/>
      </c:scatterChart>
      <c:valAx>
        <c:axId val="141980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station, y=0 at BL LOB stake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11967"/>
        <c:crosses val="autoZero"/>
        <c:crossBetween val="midCat"/>
      </c:valAx>
      <c:valAx>
        <c:axId val="14198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elevation, z=0 at TW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0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XS, facing 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'[1]XS_8_MM515-1'!$S$26</c:f>
              <c:strCache>
                <c:ptCount val="1"/>
                <c:pt idx="0">
                  <c:v>z_m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'[1]XS_8_MM515-1'!$R$27:$R$77</c:f>
              <c:numCache>
                <c:formatCode>General</c:formatCode>
                <c:ptCount val="51"/>
                <c:pt idx="0">
                  <c:v>9.25</c:v>
                </c:pt>
                <c:pt idx="1">
                  <c:v>9.08</c:v>
                </c:pt>
                <c:pt idx="2">
                  <c:v>8.8800000000000008</c:v>
                </c:pt>
                <c:pt idx="3">
                  <c:v>8.68</c:v>
                </c:pt>
                <c:pt idx="4">
                  <c:v>8.48</c:v>
                </c:pt>
                <c:pt idx="5">
                  <c:v>8.2799999999999994</c:v>
                </c:pt>
                <c:pt idx="6">
                  <c:v>8.08</c:v>
                </c:pt>
                <c:pt idx="7">
                  <c:v>7.88</c:v>
                </c:pt>
                <c:pt idx="8">
                  <c:v>7.68</c:v>
                </c:pt>
                <c:pt idx="9">
                  <c:v>7.48</c:v>
                </c:pt>
                <c:pt idx="10">
                  <c:v>7.28</c:v>
                </c:pt>
                <c:pt idx="11">
                  <c:v>7.08</c:v>
                </c:pt>
                <c:pt idx="12">
                  <c:v>6.91</c:v>
                </c:pt>
                <c:pt idx="13">
                  <c:v>6.91</c:v>
                </c:pt>
                <c:pt idx="14">
                  <c:v>6.71</c:v>
                </c:pt>
                <c:pt idx="15">
                  <c:v>6.51</c:v>
                </c:pt>
                <c:pt idx="16">
                  <c:v>6.3100000000000005</c:v>
                </c:pt>
                <c:pt idx="17">
                  <c:v>6.1099999999999994</c:v>
                </c:pt>
                <c:pt idx="18">
                  <c:v>5.91</c:v>
                </c:pt>
                <c:pt idx="19">
                  <c:v>5.71</c:v>
                </c:pt>
                <c:pt idx="20">
                  <c:v>5.51</c:v>
                </c:pt>
                <c:pt idx="21">
                  <c:v>5.3100000000000005</c:v>
                </c:pt>
                <c:pt idx="22">
                  <c:v>5.1100000000000003</c:v>
                </c:pt>
                <c:pt idx="23">
                  <c:v>4.91</c:v>
                </c:pt>
                <c:pt idx="24">
                  <c:v>4.71</c:v>
                </c:pt>
                <c:pt idx="25">
                  <c:v>4.51</c:v>
                </c:pt>
                <c:pt idx="26">
                  <c:v>4.3099999999999996</c:v>
                </c:pt>
                <c:pt idx="27">
                  <c:v>4.1100000000000003</c:v>
                </c:pt>
                <c:pt idx="28">
                  <c:v>3.91</c:v>
                </c:pt>
                <c:pt idx="29">
                  <c:v>3.71</c:v>
                </c:pt>
                <c:pt idx="30">
                  <c:v>3.51</c:v>
                </c:pt>
                <c:pt idx="31">
                  <c:v>3.3099999999999996</c:v>
                </c:pt>
                <c:pt idx="32">
                  <c:v>3.1100000000000003</c:v>
                </c:pt>
                <c:pt idx="33">
                  <c:v>2.91</c:v>
                </c:pt>
                <c:pt idx="34">
                  <c:v>2.71</c:v>
                </c:pt>
                <c:pt idx="35">
                  <c:v>2.5099999999999998</c:v>
                </c:pt>
                <c:pt idx="36">
                  <c:v>2.3099999999999996</c:v>
                </c:pt>
                <c:pt idx="37">
                  <c:v>2.1100000000000003</c:v>
                </c:pt>
                <c:pt idx="38">
                  <c:v>1.9100000000000001</c:v>
                </c:pt>
                <c:pt idx="39">
                  <c:v>1.71</c:v>
                </c:pt>
                <c:pt idx="40">
                  <c:v>1.5099999999999998</c:v>
                </c:pt>
                <c:pt idx="41">
                  <c:v>1.3099999999999996</c:v>
                </c:pt>
                <c:pt idx="42">
                  <c:v>1.1099999999999994</c:v>
                </c:pt>
                <c:pt idx="43">
                  <c:v>0.91000000000000014</c:v>
                </c:pt>
                <c:pt idx="44">
                  <c:v>0.71000000000000085</c:v>
                </c:pt>
                <c:pt idx="45">
                  <c:v>0.71000000000000085</c:v>
                </c:pt>
                <c:pt idx="46">
                  <c:v>0.66999999999999993</c:v>
                </c:pt>
                <c:pt idx="47">
                  <c:v>0.47000000000000064</c:v>
                </c:pt>
                <c:pt idx="48">
                  <c:v>0.26999999999999957</c:v>
                </c:pt>
                <c:pt idx="49">
                  <c:v>7.0000000000000284E-2</c:v>
                </c:pt>
                <c:pt idx="50">
                  <c:v>0</c:v>
                </c:pt>
              </c:numCache>
            </c:numRef>
          </c:xVal>
          <c:yVal>
            <c:numRef>
              <c:f>'[1]XS_8_MM515-1'!$S$27:$S$77</c:f>
              <c:numCache>
                <c:formatCode>General</c:formatCode>
                <c:ptCount val="51"/>
                <c:pt idx="0">
                  <c:v>1.4858274916184089</c:v>
                </c:pt>
                <c:pt idx="1">
                  <c:v>1.4763029564157268</c:v>
                </c:pt>
                <c:pt idx="2">
                  <c:v>1.4699532662806056</c:v>
                </c:pt>
                <c:pt idx="3">
                  <c:v>1.4509041958752413</c:v>
                </c:pt>
                <c:pt idx="4">
                  <c:v>1.422330590267195</c:v>
                </c:pt>
                <c:pt idx="5">
                  <c:v>1.422330590267195</c:v>
                </c:pt>
                <c:pt idx="6">
                  <c:v>1.4255054353347556</c:v>
                </c:pt>
                <c:pt idx="7">
                  <c:v>1.387407294524027</c:v>
                </c:pt>
                <c:pt idx="8">
                  <c:v>1.2889870974296456</c:v>
                </c:pt>
                <c:pt idx="9">
                  <c:v>1.0603982525652749</c:v>
                </c:pt>
                <c:pt idx="10">
                  <c:v>0.84768363303870764</c:v>
                </c:pt>
                <c:pt idx="11">
                  <c:v>0.66354261912018697</c:v>
                </c:pt>
                <c:pt idx="12">
                  <c:v>0.27621152087778117</c:v>
                </c:pt>
                <c:pt idx="13">
                  <c:v>0.27621152087778117</c:v>
                </c:pt>
                <c:pt idx="14">
                  <c:v>0.15556740831047447</c:v>
                </c:pt>
                <c:pt idx="15">
                  <c:v>8.2545971756578324E-2</c:v>
                </c:pt>
                <c:pt idx="16">
                  <c:v>6.6671746418774755E-2</c:v>
                </c:pt>
                <c:pt idx="17">
                  <c:v>4.4447830945849885E-2</c:v>
                </c:pt>
                <c:pt idx="18">
                  <c:v>3.1748450675606985E-2</c:v>
                </c:pt>
                <c:pt idx="19">
                  <c:v>1.2699380270242767E-2</c:v>
                </c:pt>
                <c:pt idx="20">
                  <c:v>0</c:v>
                </c:pt>
                <c:pt idx="21">
                  <c:v>3.1748450675606579E-3</c:v>
                </c:pt>
                <c:pt idx="22">
                  <c:v>9.5245352026821078E-3</c:v>
                </c:pt>
                <c:pt idx="23">
                  <c:v>6.3496901351214512E-3</c:v>
                </c:pt>
                <c:pt idx="24">
                  <c:v>1.2699380270242767E-2</c:v>
                </c:pt>
                <c:pt idx="25">
                  <c:v>9.5245352026821078E-3</c:v>
                </c:pt>
                <c:pt idx="26">
                  <c:v>9.5245352026821078E-3</c:v>
                </c:pt>
                <c:pt idx="27">
                  <c:v>1.2699380270242767E-2</c:v>
                </c:pt>
                <c:pt idx="28">
                  <c:v>9.5245352026821078E-3</c:v>
                </c:pt>
                <c:pt idx="29">
                  <c:v>2.8573605608046327E-2</c:v>
                </c:pt>
                <c:pt idx="30">
                  <c:v>1.5874225337803558E-2</c:v>
                </c:pt>
                <c:pt idx="31">
                  <c:v>3.1748450675606985E-2</c:v>
                </c:pt>
                <c:pt idx="32">
                  <c:v>4.4447830945849885E-2</c:v>
                </c:pt>
                <c:pt idx="33">
                  <c:v>5.3972366148531993E-2</c:v>
                </c:pt>
                <c:pt idx="34">
                  <c:v>5.3972366148531993E-2</c:v>
                </c:pt>
                <c:pt idx="35">
                  <c:v>6.3496901351214108E-2</c:v>
                </c:pt>
                <c:pt idx="36">
                  <c:v>6.0322056283653308E-2</c:v>
                </c:pt>
                <c:pt idx="37">
                  <c:v>7.3021436553896216E-2</c:v>
                </c:pt>
                <c:pt idx="38">
                  <c:v>9.5245352026821092E-2</c:v>
                </c:pt>
                <c:pt idx="39">
                  <c:v>9.8420197094381809E-2</c:v>
                </c:pt>
                <c:pt idx="40">
                  <c:v>0.14921771817535301</c:v>
                </c:pt>
                <c:pt idx="41">
                  <c:v>0.16509194351315656</c:v>
                </c:pt>
                <c:pt idx="42">
                  <c:v>0.23493853499949199</c:v>
                </c:pt>
                <c:pt idx="43">
                  <c:v>0.33018388702631313</c:v>
                </c:pt>
                <c:pt idx="44">
                  <c:v>0.4190795489180128</c:v>
                </c:pt>
                <c:pt idx="45">
                  <c:v>0.41907954891801291</c:v>
                </c:pt>
                <c:pt idx="46">
                  <c:v>0.55559788682312328</c:v>
                </c:pt>
                <c:pt idx="47">
                  <c:v>1.0000761962816216</c:v>
                </c:pt>
                <c:pt idx="48">
                  <c:v>1.1905669003352637</c:v>
                </c:pt>
                <c:pt idx="49">
                  <c:v>1.371533069186224</c:v>
                </c:pt>
                <c:pt idx="50">
                  <c:v>1.4636035761454842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F-F441-8505-EAC38B1BF68B}"/>
            </c:ext>
          </c:extLst>
        </c:ser>
        <c:ser>
          <c:idx val="1"/>
          <c:order val="1"/>
          <c:tx>
            <c:strRef>
              <c:f>'[1]XS_8_MM515-1'!$T$26</c:f>
              <c:strCache>
                <c:ptCount val="1"/>
                <c:pt idx="0">
                  <c:v>WS_m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'[1]XS_8_MM515-1'!$R$27:$R$77</c:f>
              <c:numCache>
                <c:formatCode>General</c:formatCode>
                <c:ptCount val="51"/>
                <c:pt idx="0">
                  <c:v>9.25</c:v>
                </c:pt>
                <c:pt idx="1">
                  <c:v>9.08</c:v>
                </c:pt>
                <c:pt idx="2">
                  <c:v>8.8800000000000008</c:v>
                </c:pt>
                <c:pt idx="3">
                  <c:v>8.68</c:v>
                </c:pt>
                <c:pt idx="4">
                  <c:v>8.48</c:v>
                </c:pt>
                <c:pt idx="5">
                  <c:v>8.2799999999999994</c:v>
                </c:pt>
                <c:pt idx="6">
                  <c:v>8.08</c:v>
                </c:pt>
                <c:pt idx="7">
                  <c:v>7.88</c:v>
                </c:pt>
                <c:pt idx="8">
                  <c:v>7.68</c:v>
                </c:pt>
                <c:pt idx="9">
                  <c:v>7.48</c:v>
                </c:pt>
                <c:pt idx="10">
                  <c:v>7.28</c:v>
                </c:pt>
                <c:pt idx="11">
                  <c:v>7.08</c:v>
                </c:pt>
                <c:pt idx="12">
                  <c:v>6.91</c:v>
                </c:pt>
                <c:pt idx="13">
                  <c:v>6.91</c:v>
                </c:pt>
                <c:pt idx="14">
                  <c:v>6.71</c:v>
                </c:pt>
                <c:pt idx="15">
                  <c:v>6.51</c:v>
                </c:pt>
                <c:pt idx="16">
                  <c:v>6.3100000000000005</c:v>
                </c:pt>
                <c:pt idx="17">
                  <c:v>6.1099999999999994</c:v>
                </c:pt>
                <c:pt idx="18">
                  <c:v>5.91</c:v>
                </c:pt>
                <c:pt idx="19">
                  <c:v>5.71</c:v>
                </c:pt>
                <c:pt idx="20">
                  <c:v>5.51</c:v>
                </c:pt>
                <c:pt idx="21">
                  <c:v>5.3100000000000005</c:v>
                </c:pt>
                <c:pt idx="22">
                  <c:v>5.1100000000000003</c:v>
                </c:pt>
                <c:pt idx="23">
                  <c:v>4.91</c:v>
                </c:pt>
                <c:pt idx="24">
                  <c:v>4.71</c:v>
                </c:pt>
                <c:pt idx="25">
                  <c:v>4.51</c:v>
                </c:pt>
                <c:pt idx="26">
                  <c:v>4.3099999999999996</c:v>
                </c:pt>
                <c:pt idx="27">
                  <c:v>4.1100000000000003</c:v>
                </c:pt>
                <c:pt idx="28">
                  <c:v>3.91</c:v>
                </c:pt>
                <c:pt idx="29">
                  <c:v>3.71</c:v>
                </c:pt>
                <c:pt idx="30">
                  <c:v>3.51</c:v>
                </c:pt>
                <c:pt idx="31">
                  <c:v>3.3099999999999996</c:v>
                </c:pt>
                <c:pt idx="32">
                  <c:v>3.1100000000000003</c:v>
                </c:pt>
                <c:pt idx="33">
                  <c:v>2.91</c:v>
                </c:pt>
                <c:pt idx="34">
                  <c:v>2.71</c:v>
                </c:pt>
                <c:pt idx="35">
                  <c:v>2.5099999999999998</c:v>
                </c:pt>
                <c:pt idx="36">
                  <c:v>2.3099999999999996</c:v>
                </c:pt>
                <c:pt idx="37">
                  <c:v>2.1100000000000003</c:v>
                </c:pt>
                <c:pt idx="38">
                  <c:v>1.9100000000000001</c:v>
                </c:pt>
                <c:pt idx="39">
                  <c:v>1.71</c:v>
                </c:pt>
                <c:pt idx="40">
                  <c:v>1.5099999999999998</c:v>
                </c:pt>
                <c:pt idx="41">
                  <c:v>1.3099999999999996</c:v>
                </c:pt>
                <c:pt idx="42">
                  <c:v>1.1099999999999994</c:v>
                </c:pt>
                <c:pt idx="43">
                  <c:v>0.91000000000000014</c:v>
                </c:pt>
                <c:pt idx="44">
                  <c:v>0.71000000000000085</c:v>
                </c:pt>
                <c:pt idx="45">
                  <c:v>0.71000000000000085</c:v>
                </c:pt>
                <c:pt idx="46">
                  <c:v>0.66999999999999993</c:v>
                </c:pt>
                <c:pt idx="47">
                  <c:v>0.47000000000000064</c:v>
                </c:pt>
                <c:pt idx="48">
                  <c:v>0.26999999999999957</c:v>
                </c:pt>
                <c:pt idx="49">
                  <c:v>7.0000000000000284E-2</c:v>
                </c:pt>
                <c:pt idx="50">
                  <c:v>0</c:v>
                </c:pt>
              </c:numCache>
            </c:numRef>
          </c:xVal>
          <c:yVal>
            <c:numRef>
              <c:f>'[1]XS_8_MM515-1'!$T$27:$T$77</c:f>
              <c:numCache>
                <c:formatCode>General</c:formatCode>
                <c:ptCount val="51"/>
                <c:pt idx="0">
                  <c:v>0.19289850655288016</c:v>
                </c:pt>
                <c:pt idx="1">
                  <c:v>0.19289850655288016</c:v>
                </c:pt>
                <c:pt idx="2">
                  <c:v>0.19289850655288016</c:v>
                </c:pt>
                <c:pt idx="3">
                  <c:v>0.19289850655288016</c:v>
                </c:pt>
                <c:pt idx="4">
                  <c:v>0.19289850655288016</c:v>
                </c:pt>
                <c:pt idx="5">
                  <c:v>0.19289850655288016</c:v>
                </c:pt>
                <c:pt idx="6">
                  <c:v>0.19289850655288016</c:v>
                </c:pt>
                <c:pt idx="7">
                  <c:v>0.19289850655288016</c:v>
                </c:pt>
                <c:pt idx="8">
                  <c:v>0.19289850655288016</c:v>
                </c:pt>
                <c:pt idx="9">
                  <c:v>0.19289850655288016</c:v>
                </c:pt>
                <c:pt idx="10">
                  <c:v>0.19289850655288016</c:v>
                </c:pt>
                <c:pt idx="11">
                  <c:v>0.19289850655288016</c:v>
                </c:pt>
                <c:pt idx="12">
                  <c:v>0.19289850655288016</c:v>
                </c:pt>
                <c:pt idx="13">
                  <c:v>0.19289850655288016</c:v>
                </c:pt>
                <c:pt idx="14">
                  <c:v>0.19289850655288016</c:v>
                </c:pt>
                <c:pt idx="15">
                  <c:v>0.19289850655288016</c:v>
                </c:pt>
                <c:pt idx="16">
                  <c:v>0.19289850655288016</c:v>
                </c:pt>
                <c:pt idx="17">
                  <c:v>0.19289850655288016</c:v>
                </c:pt>
                <c:pt idx="18">
                  <c:v>0.19289850655288016</c:v>
                </c:pt>
                <c:pt idx="19">
                  <c:v>0.19289850655288016</c:v>
                </c:pt>
                <c:pt idx="20">
                  <c:v>0.19289850655288016</c:v>
                </c:pt>
                <c:pt idx="21">
                  <c:v>0.19289850655288016</c:v>
                </c:pt>
                <c:pt idx="22">
                  <c:v>0.19289850655288016</c:v>
                </c:pt>
                <c:pt idx="23">
                  <c:v>0.19289850655288016</c:v>
                </c:pt>
                <c:pt idx="24">
                  <c:v>0.19289850655288016</c:v>
                </c:pt>
                <c:pt idx="25">
                  <c:v>0.19289850655288016</c:v>
                </c:pt>
                <c:pt idx="26">
                  <c:v>0.19289850655288016</c:v>
                </c:pt>
                <c:pt idx="27">
                  <c:v>0.19289850655288016</c:v>
                </c:pt>
                <c:pt idx="28">
                  <c:v>0.19289850655288016</c:v>
                </c:pt>
                <c:pt idx="29">
                  <c:v>0.19289850655288016</c:v>
                </c:pt>
                <c:pt idx="30">
                  <c:v>0.19289850655288016</c:v>
                </c:pt>
                <c:pt idx="31">
                  <c:v>0.19289850655288016</c:v>
                </c:pt>
                <c:pt idx="32">
                  <c:v>0.19289850655288016</c:v>
                </c:pt>
                <c:pt idx="33">
                  <c:v>0.19289850655288016</c:v>
                </c:pt>
                <c:pt idx="34">
                  <c:v>0.19289850655288016</c:v>
                </c:pt>
                <c:pt idx="35">
                  <c:v>0.19289850655288016</c:v>
                </c:pt>
                <c:pt idx="36">
                  <c:v>0.19289850655288016</c:v>
                </c:pt>
                <c:pt idx="37">
                  <c:v>0.19289850655288016</c:v>
                </c:pt>
                <c:pt idx="38">
                  <c:v>0.19289850655288016</c:v>
                </c:pt>
                <c:pt idx="39">
                  <c:v>0.19289850655288016</c:v>
                </c:pt>
                <c:pt idx="40">
                  <c:v>0.19289850655288016</c:v>
                </c:pt>
                <c:pt idx="41">
                  <c:v>0.19289850655288016</c:v>
                </c:pt>
                <c:pt idx="42">
                  <c:v>0.19289850655288016</c:v>
                </c:pt>
                <c:pt idx="43">
                  <c:v>0.19289850655288016</c:v>
                </c:pt>
                <c:pt idx="44">
                  <c:v>0.19289850655288016</c:v>
                </c:pt>
                <c:pt idx="45">
                  <c:v>0.19289850655288016</c:v>
                </c:pt>
                <c:pt idx="46">
                  <c:v>0.19289850655288016</c:v>
                </c:pt>
                <c:pt idx="47">
                  <c:v>0.19289850655288016</c:v>
                </c:pt>
                <c:pt idx="48">
                  <c:v>0.19289850655288016</c:v>
                </c:pt>
                <c:pt idx="49">
                  <c:v>0.19289850655288016</c:v>
                </c:pt>
                <c:pt idx="50">
                  <c:v>0.19289850655288016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F-F441-8505-EAC38B1BF68B}"/>
            </c:ext>
          </c:extLst>
        </c:ser>
        <c:ser>
          <c:idx val="2"/>
          <c:order val="2"/>
          <c:tx>
            <c:strRef>
              <c:f>'[1]XS_8_MM515-1'!$U$26</c:f>
              <c:strCache>
                <c:ptCount val="1"/>
                <c:pt idx="0">
                  <c:v>TL_m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'[1]XS_8_MM515-1'!$R$27:$R$77</c:f>
              <c:numCache>
                <c:formatCode>General</c:formatCode>
                <c:ptCount val="51"/>
                <c:pt idx="0">
                  <c:v>9.25</c:v>
                </c:pt>
                <c:pt idx="1">
                  <c:v>9.08</c:v>
                </c:pt>
                <c:pt idx="2">
                  <c:v>8.8800000000000008</c:v>
                </c:pt>
                <c:pt idx="3">
                  <c:v>8.68</c:v>
                </c:pt>
                <c:pt idx="4">
                  <c:v>8.48</c:v>
                </c:pt>
                <c:pt idx="5">
                  <c:v>8.2799999999999994</c:v>
                </c:pt>
                <c:pt idx="6">
                  <c:v>8.08</c:v>
                </c:pt>
                <c:pt idx="7">
                  <c:v>7.88</c:v>
                </c:pt>
                <c:pt idx="8">
                  <c:v>7.68</c:v>
                </c:pt>
                <c:pt idx="9">
                  <c:v>7.48</c:v>
                </c:pt>
                <c:pt idx="10">
                  <c:v>7.28</c:v>
                </c:pt>
                <c:pt idx="11">
                  <c:v>7.08</c:v>
                </c:pt>
                <c:pt idx="12">
                  <c:v>6.91</c:v>
                </c:pt>
                <c:pt idx="13">
                  <c:v>6.91</c:v>
                </c:pt>
                <c:pt idx="14">
                  <c:v>6.71</c:v>
                </c:pt>
                <c:pt idx="15">
                  <c:v>6.51</c:v>
                </c:pt>
                <c:pt idx="16">
                  <c:v>6.3100000000000005</c:v>
                </c:pt>
                <c:pt idx="17">
                  <c:v>6.1099999999999994</c:v>
                </c:pt>
                <c:pt idx="18">
                  <c:v>5.91</c:v>
                </c:pt>
                <c:pt idx="19">
                  <c:v>5.71</c:v>
                </c:pt>
                <c:pt idx="20">
                  <c:v>5.51</c:v>
                </c:pt>
                <c:pt idx="21">
                  <c:v>5.3100000000000005</c:v>
                </c:pt>
                <c:pt idx="22">
                  <c:v>5.1100000000000003</c:v>
                </c:pt>
                <c:pt idx="23">
                  <c:v>4.91</c:v>
                </c:pt>
                <c:pt idx="24">
                  <c:v>4.71</c:v>
                </c:pt>
                <c:pt idx="25">
                  <c:v>4.51</c:v>
                </c:pt>
                <c:pt idx="26">
                  <c:v>4.3099999999999996</c:v>
                </c:pt>
                <c:pt idx="27">
                  <c:v>4.1100000000000003</c:v>
                </c:pt>
                <c:pt idx="28">
                  <c:v>3.91</c:v>
                </c:pt>
                <c:pt idx="29">
                  <c:v>3.71</c:v>
                </c:pt>
                <c:pt idx="30">
                  <c:v>3.51</c:v>
                </c:pt>
                <c:pt idx="31">
                  <c:v>3.3099999999999996</c:v>
                </c:pt>
                <c:pt idx="32">
                  <c:v>3.1100000000000003</c:v>
                </c:pt>
                <c:pt idx="33">
                  <c:v>2.91</c:v>
                </c:pt>
                <c:pt idx="34">
                  <c:v>2.71</c:v>
                </c:pt>
                <c:pt idx="35">
                  <c:v>2.5099999999999998</c:v>
                </c:pt>
                <c:pt idx="36">
                  <c:v>2.3099999999999996</c:v>
                </c:pt>
                <c:pt idx="37">
                  <c:v>2.1100000000000003</c:v>
                </c:pt>
                <c:pt idx="38">
                  <c:v>1.9100000000000001</c:v>
                </c:pt>
                <c:pt idx="39">
                  <c:v>1.71</c:v>
                </c:pt>
                <c:pt idx="40">
                  <c:v>1.5099999999999998</c:v>
                </c:pt>
                <c:pt idx="41">
                  <c:v>1.3099999999999996</c:v>
                </c:pt>
                <c:pt idx="42">
                  <c:v>1.1099999999999994</c:v>
                </c:pt>
                <c:pt idx="43">
                  <c:v>0.91000000000000014</c:v>
                </c:pt>
                <c:pt idx="44">
                  <c:v>0.71000000000000085</c:v>
                </c:pt>
                <c:pt idx="45">
                  <c:v>0.71000000000000085</c:v>
                </c:pt>
                <c:pt idx="46">
                  <c:v>0.66999999999999993</c:v>
                </c:pt>
                <c:pt idx="47">
                  <c:v>0.47000000000000064</c:v>
                </c:pt>
                <c:pt idx="48">
                  <c:v>0.26999999999999957</c:v>
                </c:pt>
                <c:pt idx="49">
                  <c:v>7.0000000000000284E-2</c:v>
                </c:pt>
                <c:pt idx="50">
                  <c:v>0</c:v>
                </c:pt>
              </c:numCache>
            </c:numRef>
          </c:xVal>
          <c:yVal>
            <c:numRef>
              <c:f>'[1]XS_8_MM515-1'!$U$27:$U$77</c:f>
              <c:numCache>
                <c:formatCode>General</c:formatCode>
                <c:ptCount val="51"/>
                <c:pt idx="0">
                  <c:v>0.54289850655288019</c:v>
                </c:pt>
                <c:pt idx="1">
                  <c:v>0.54289850655288019</c:v>
                </c:pt>
                <c:pt idx="2">
                  <c:v>0.54289850655288019</c:v>
                </c:pt>
                <c:pt idx="3">
                  <c:v>0.54289850655288019</c:v>
                </c:pt>
                <c:pt idx="4">
                  <c:v>0.54289850655288019</c:v>
                </c:pt>
                <c:pt idx="5">
                  <c:v>0.54289850655288019</c:v>
                </c:pt>
                <c:pt idx="6">
                  <c:v>0.54289850655288019</c:v>
                </c:pt>
                <c:pt idx="7">
                  <c:v>0.54289850655288019</c:v>
                </c:pt>
                <c:pt idx="8">
                  <c:v>0.54289850655288019</c:v>
                </c:pt>
                <c:pt idx="9">
                  <c:v>0.54289850655288019</c:v>
                </c:pt>
                <c:pt idx="10">
                  <c:v>0.54289850655288019</c:v>
                </c:pt>
                <c:pt idx="11">
                  <c:v>0.54289850655288019</c:v>
                </c:pt>
                <c:pt idx="12">
                  <c:v>0.54289850655288019</c:v>
                </c:pt>
                <c:pt idx="13">
                  <c:v>0.54289850655288019</c:v>
                </c:pt>
                <c:pt idx="14">
                  <c:v>0.54289850655288019</c:v>
                </c:pt>
                <c:pt idx="15">
                  <c:v>0.54289850655288019</c:v>
                </c:pt>
                <c:pt idx="16">
                  <c:v>0.54289850655288019</c:v>
                </c:pt>
                <c:pt idx="17">
                  <c:v>0.54289850655288019</c:v>
                </c:pt>
                <c:pt idx="18">
                  <c:v>0.54289850655288019</c:v>
                </c:pt>
                <c:pt idx="19">
                  <c:v>0.54289850655288019</c:v>
                </c:pt>
                <c:pt idx="20">
                  <c:v>0.54289850655288019</c:v>
                </c:pt>
                <c:pt idx="21">
                  <c:v>0.54289850655288019</c:v>
                </c:pt>
                <c:pt idx="22">
                  <c:v>0.54289850655288019</c:v>
                </c:pt>
                <c:pt idx="23">
                  <c:v>0.54289850655288019</c:v>
                </c:pt>
                <c:pt idx="24">
                  <c:v>0.54289850655288019</c:v>
                </c:pt>
                <c:pt idx="25">
                  <c:v>0.54289850655288019</c:v>
                </c:pt>
                <c:pt idx="26">
                  <c:v>0.54289850655288019</c:v>
                </c:pt>
                <c:pt idx="27">
                  <c:v>0.54289850655288019</c:v>
                </c:pt>
                <c:pt idx="28">
                  <c:v>0.54289850655288019</c:v>
                </c:pt>
                <c:pt idx="29">
                  <c:v>0.54289850655288019</c:v>
                </c:pt>
                <c:pt idx="30">
                  <c:v>0.54289850655288019</c:v>
                </c:pt>
                <c:pt idx="31">
                  <c:v>0.54289850655288019</c:v>
                </c:pt>
                <c:pt idx="32">
                  <c:v>0.54289850655288019</c:v>
                </c:pt>
                <c:pt idx="33">
                  <c:v>0.54289850655288019</c:v>
                </c:pt>
                <c:pt idx="34">
                  <c:v>0.54289850655288019</c:v>
                </c:pt>
                <c:pt idx="35">
                  <c:v>0.54289850655288019</c:v>
                </c:pt>
                <c:pt idx="36">
                  <c:v>0.54289850655288019</c:v>
                </c:pt>
                <c:pt idx="37">
                  <c:v>0.54289850655288019</c:v>
                </c:pt>
                <c:pt idx="38">
                  <c:v>0.54289850655288019</c:v>
                </c:pt>
                <c:pt idx="39">
                  <c:v>0.54289850655288019</c:v>
                </c:pt>
                <c:pt idx="40">
                  <c:v>0.54289850655288019</c:v>
                </c:pt>
                <c:pt idx="41">
                  <c:v>0.54289850655288019</c:v>
                </c:pt>
                <c:pt idx="42">
                  <c:v>0.54289850655288019</c:v>
                </c:pt>
                <c:pt idx="43">
                  <c:v>0.54289850655288019</c:v>
                </c:pt>
                <c:pt idx="44">
                  <c:v>0.54289850655288019</c:v>
                </c:pt>
                <c:pt idx="45">
                  <c:v>0.54289850655288019</c:v>
                </c:pt>
                <c:pt idx="46">
                  <c:v>0.54289850655288019</c:v>
                </c:pt>
                <c:pt idx="47">
                  <c:v>0.54289850655288019</c:v>
                </c:pt>
                <c:pt idx="48">
                  <c:v>0.54289850655288019</c:v>
                </c:pt>
                <c:pt idx="49">
                  <c:v>0.54289850655288019</c:v>
                </c:pt>
                <c:pt idx="50">
                  <c:v>0.54289850655288019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F-F441-8505-EAC38B1B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08847"/>
        <c:axId val="1419811967"/>
      </c:scatterChart>
      <c:valAx>
        <c:axId val="141980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station, y=0 at BL LOB stake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11967"/>
        <c:crosses val="autoZero"/>
        <c:crossBetween val="midCat"/>
      </c:valAx>
      <c:valAx>
        <c:axId val="14198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elevation, z=0 at TW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0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82550</xdr:colOff>
      <xdr:row>7</xdr:row>
      <xdr:rowOff>95250</xdr:rowOff>
    </xdr:from>
    <xdr:to>
      <xdr:col>30</xdr:col>
      <xdr:colOff>596900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AF6C9-141F-5045-83A7-BB52FC197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19050</xdr:colOff>
      <xdr:row>25</xdr:row>
      <xdr:rowOff>95250</xdr:rowOff>
    </xdr:from>
    <xdr:to>
      <xdr:col>35</xdr:col>
      <xdr:colOff>762000</xdr:colOff>
      <xdr:row>46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6376BA-3D95-4149-B983-2B9F13D8A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49</xdr:row>
      <xdr:rowOff>0</xdr:rowOff>
    </xdr:from>
    <xdr:to>
      <xdr:col>35</xdr:col>
      <xdr:colOff>742950</xdr:colOff>
      <xdr:row>70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F9A586-DF81-3548-B22E-1CCC5B093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m/Dropbox/MS_Research_KrausSam/Fieldwork/Field_Surveys.xlsx" TargetMode="External"/><Relationship Id="rId1" Type="http://schemas.openxmlformats.org/officeDocument/2006/relationships/externalLinkPath" Target="/Users/sam/Dropbox/MS_Research_KrausSam/Fieldwork/Field_Surve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_ME"/>
      <sheetName val="XS_1_MM518-2"/>
      <sheetName val="XS_2_RBR"/>
      <sheetName val="XS_3_MM515-2"/>
      <sheetName val="XS_4_MM522-1"/>
      <sheetName val="XS_5_MM520-1"/>
      <sheetName val="XS_6_MM525-1"/>
      <sheetName val="XS_7_MM526-1"/>
      <sheetName val="XS_8_MM515-1"/>
      <sheetName val="XS_9_SyntheticNests"/>
      <sheetName val="XS_combine"/>
      <sheetName val="XS_nest_combine"/>
      <sheetName val="XS_2_RBR_Q"/>
      <sheetName val="Long_Pro_plot"/>
      <sheetName val="Long_Pro_csv"/>
      <sheetName val="Long_Pro_raw"/>
      <sheetName val="Long_Pro_adj"/>
      <sheetName val="Long_Pro_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O14" t="str">
            <v>z_m_WS-TL</v>
          </cell>
          <cell r="P14" t="str">
            <v>z_m_TL-BL</v>
          </cell>
        </row>
        <row r="15">
          <cell r="N15">
            <v>0.2</v>
          </cell>
          <cell r="O15">
            <v>0.35</v>
          </cell>
          <cell r="P15">
            <v>0.9207050695926039</v>
          </cell>
        </row>
        <row r="16">
          <cell r="N16">
            <v>1</v>
          </cell>
          <cell r="O16">
            <v>0.35</v>
          </cell>
          <cell r="P16">
            <v>0.9207050695926039</v>
          </cell>
        </row>
        <row r="17">
          <cell r="N17">
            <v>2</v>
          </cell>
          <cell r="O17">
            <v>0.35</v>
          </cell>
          <cell r="P17">
            <v>0.91753022452504318</v>
          </cell>
        </row>
        <row r="18">
          <cell r="N18">
            <v>3</v>
          </cell>
          <cell r="O18">
            <v>0.35</v>
          </cell>
          <cell r="P18">
            <v>0.91435537945748246</v>
          </cell>
        </row>
        <row r="19">
          <cell r="N19">
            <v>4</v>
          </cell>
          <cell r="O19">
            <v>0.35</v>
          </cell>
          <cell r="P19">
            <v>0.91753022452504318</v>
          </cell>
        </row>
        <row r="20">
          <cell r="N20">
            <v>5</v>
          </cell>
          <cell r="O20">
            <v>0.35</v>
          </cell>
          <cell r="P20">
            <v>0.9207050695926039</v>
          </cell>
        </row>
        <row r="21">
          <cell r="N21">
            <v>0</v>
          </cell>
          <cell r="P21">
            <v>0.9207050695926039</v>
          </cell>
        </row>
        <row r="26">
          <cell r="N26" t="str">
            <v>z_m</v>
          </cell>
          <cell r="O26" t="str">
            <v>WS_m</v>
          </cell>
          <cell r="P26" t="str">
            <v>TL_m</v>
          </cell>
          <cell r="S26" t="str">
            <v>z_m</v>
          </cell>
          <cell r="T26" t="str">
            <v>WS_m</v>
          </cell>
          <cell r="U26" t="str">
            <v>TL_m</v>
          </cell>
        </row>
        <row r="27">
          <cell r="M27">
            <v>0</v>
          </cell>
          <cell r="N27">
            <v>1.4858274916184089</v>
          </cell>
          <cell r="O27">
            <v>0.19289850655288016</v>
          </cell>
          <cell r="P27">
            <v>0.54289850655288019</v>
          </cell>
          <cell r="R27">
            <v>9.25</v>
          </cell>
          <cell r="S27">
            <v>1.4858274916184089</v>
          </cell>
          <cell r="T27">
            <v>0.19289850655288016</v>
          </cell>
          <cell r="U27">
            <v>0.54289850655288019</v>
          </cell>
        </row>
        <row r="28">
          <cell r="M28">
            <v>0.17</v>
          </cell>
          <cell r="N28">
            <v>1.4763029564157268</v>
          </cell>
          <cell r="O28">
            <v>0.19289850655288016</v>
          </cell>
          <cell r="P28">
            <v>0.54289850655288019</v>
          </cell>
          <cell r="R28">
            <v>9.08</v>
          </cell>
          <cell r="S28">
            <v>1.4763029564157268</v>
          </cell>
          <cell r="T28">
            <v>0.19289850655288016</v>
          </cell>
          <cell r="U28">
            <v>0.54289850655288019</v>
          </cell>
        </row>
        <row r="29">
          <cell r="M29">
            <v>0.37</v>
          </cell>
          <cell r="N29">
            <v>1.4699532662806056</v>
          </cell>
          <cell r="O29">
            <v>0.19289850655288016</v>
          </cell>
          <cell r="P29">
            <v>0.54289850655288019</v>
          </cell>
          <cell r="R29">
            <v>8.8800000000000008</v>
          </cell>
          <cell r="S29">
            <v>1.4699532662806056</v>
          </cell>
          <cell r="T29">
            <v>0.19289850655288016</v>
          </cell>
          <cell r="U29">
            <v>0.54289850655288019</v>
          </cell>
        </row>
        <row r="30">
          <cell r="M30">
            <v>0.56999999999999995</v>
          </cell>
          <cell r="N30">
            <v>1.4509041958752413</v>
          </cell>
          <cell r="O30">
            <v>0.19289850655288016</v>
          </cell>
          <cell r="P30">
            <v>0.54289850655288019</v>
          </cell>
          <cell r="R30">
            <v>8.68</v>
          </cell>
          <cell r="S30">
            <v>1.4509041958752413</v>
          </cell>
          <cell r="T30">
            <v>0.19289850655288016</v>
          </cell>
          <cell r="U30">
            <v>0.54289850655288019</v>
          </cell>
        </row>
        <row r="31">
          <cell r="M31">
            <v>0.77</v>
          </cell>
          <cell r="N31">
            <v>1.422330590267195</v>
          </cell>
          <cell r="O31">
            <v>0.19289850655288016</v>
          </cell>
          <cell r="P31">
            <v>0.54289850655288019</v>
          </cell>
          <cell r="R31">
            <v>8.48</v>
          </cell>
          <cell r="S31">
            <v>1.422330590267195</v>
          </cell>
          <cell r="T31">
            <v>0.19289850655288016</v>
          </cell>
          <cell r="U31">
            <v>0.54289850655288019</v>
          </cell>
        </row>
        <row r="32">
          <cell r="M32">
            <v>0.97</v>
          </cell>
          <cell r="N32">
            <v>1.422330590267195</v>
          </cell>
          <cell r="O32">
            <v>0.19289850655288016</v>
          </cell>
          <cell r="P32">
            <v>0.54289850655288019</v>
          </cell>
          <cell r="R32">
            <v>8.2799999999999994</v>
          </cell>
          <cell r="S32">
            <v>1.422330590267195</v>
          </cell>
          <cell r="T32">
            <v>0.19289850655288016</v>
          </cell>
          <cell r="U32">
            <v>0.54289850655288019</v>
          </cell>
        </row>
        <row r="33">
          <cell r="M33">
            <v>1.17</v>
          </cell>
          <cell r="N33">
            <v>1.4255054353347556</v>
          </cell>
          <cell r="O33">
            <v>0.19289850655288016</v>
          </cell>
          <cell r="P33">
            <v>0.54289850655288019</v>
          </cell>
          <cell r="R33">
            <v>8.08</v>
          </cell>
          <cell r="S33">
            <v>1.4255054353347556</v>
          </cell>
          <cell r="T33">
            <v>0.19289850655288016</v>
          </cell>
          <cell r="U33">
            <v>0.54289850655288019</v>
          </cell>
        </row>
        <row r="34">
          <cell r="M34">
            <v>1.37</v>
          </cell>
          <cell r="N34">
            <v>1.387407294524027</v>
          </cell>
          <cell r="O34">
            <v>0.19289850655288016</v>
          </cell>
          <cell r="P34">
            <v>0.54289850655288019</v>
          </cell>
          <cell r="R34">
            <v>7.88</v>
          </cell>
          <cell r="S34">
            <v>1.387407294524027</v>
          </cell>
          <cell r="T34">
            <v>0.19289850655288016</v>
          </cell>
          <cell r="U34">
            <v>0.54289850655288019</v>
          </cell>
        </row>
        <row r="35">
          <cell r="M35">
            <v>1.57</v>
          </cell>
          <cell r="N35">
            <v>1.2889870974296456</v>
          </cell>
          <cell r="O35">
            <v>0.19289850655288016</v>
          </cell>
          <cell r="P35">
            <v>0.54289850655288019</v>
          </cell>
          <cell r="R35">
            <v>7.68</v>
          </cell>
          <cell r="S35">
            <v>1.2889870974296456</v>
          </cell>
          <cell r="T35">
            <v>0.19289850655288016</v>
          </cell>
          <cell r="U35">
            <v>0.54289850655288019</v>
          </cell>
        </row>
        <row r="36">
          <cell r="M36">
            <v>1.77</v>
          </cell>
          <cell r="N36">
            <v>1.0603982525652749</v>
          </cell>
          <cell r="O36">
            <v>0.19289850655288016</v>
          </cell>
          <cell r="P36">
            <v>0.54289850655288019</v>
          </cell>
          <cell r="R36">
            <v>7.48</v>
          </cell>
          <cell r="S36">
            <v>1.0603982525652749</v>
          </cell>
          <cell r="T36">
            <v>0.19289850655288016</v>
          </cell>
          <cell r="U36">
            <v>0.54289850655288019</v>
          </cell>
        </row>
        <row r="37">
          <cell r="M37">
            <v>1.97</v>
          </cell>
          <cell r="N37">
            <v>0.84768363303870764</v>
          </cell>
          <cell r="O37">
            <v>0.19289850655288016</v>
          </cell>
          <cell r="P37">
            <v>0.54289850655288019</v>
          </cell>
          <cell r="R37">
            <v>7.28</v>
          </cell>
          <cell r="S37">
            <v>0.84768363303870764</v>
          </cell>
          <cell r="T37">
            <v>0.19289850655288016</v>
          </cell>
          <cell r="U37">
            <v>0.54289850655288019</v>
          </cell>
        </row>
        <row r="38">
          <cell r="M38">
            <v>2.17</v>
          </cell>
          <cell r="N38">
            <v>0.66354261912018697</v>
          </cell>
          <cell r="O38">
            <v>0.19289850655288016</v>
          </cell>
          <cell r="P38">
            <v>0.54289850655288019</v>
          </cell>
          <cell r="R38">
            <v>7.08</v>
          </cell>
          <cell r="S38">
            <v>0.66354261912018697</v>
          </cell>
          <cell r="T38">
            <v>0.19289850655288016</v>
          </cell>
          <cell r="U38">
            <v>0.54289850655288019</v>
          </cell>
        </row>
        <row r="39">
          <cell r="M39">
            <v>2.34</v>
          </cell>
          <cell r="N39">
            <v>0.27621152087778117</v>
          </cell>
          <cell r="O39">
            <v>0.19289850655288016</v>
          </cell>
          <cell r="P39">
            <v>0.54289850655288019</v>
          </cell>
          <cell r="R39">
            <v>6.91</v>
          </cell>
          <cell r="S39">
            <v>0.27621152087778117</v>
          </cell>
          <cell r="T39">
            <v>0.19289850655288016</v>
          </cell>
          <cell r="U39">
            <v>0.54289850655288019</v>
          </cell>
        </row>
        <row r="40">
          <cell r="M40">
            <v>2.34</v>
          </cell>
          <cell r="N40">
            <v>0.27621152087778117</v>
          </cell>
          <cell r="O40">
            <v>0.19289850655288016</v>
          </cell>
          <cell r="P40">
            <v>0.54289850655288019</v>
          </cell>
          <cell r="R40">
            <v>6.91</v>
          </cell>
          <cell r="S40">
            <v>0.27621152087778117</v>
          </cell>
          <cell r="T40">
            <v>0.19289850655288016</v>
          </cell>
          <cell r="U40">
            <v>0.54289850655288019</v>
          </cell>
        </row>
        <row r="41">
          <cell r="M41">
            <v>2.54</v>
          </cell>
          <cell r="N41">
            <v>0.15556740831047447</v>
          </cell>
          <cell r="O41">
            <v>0.19289850655288016</v>
          </cell>
          <cell r="P41">
            <v>0.54289850655288019</v>
          </cell>
          <cell r="R41">
            <v>6.71</v>
          </cell>
          <cell r="S41">
            <v>0.15556740831047447</v>
          </cell>
          <cell r="T41">
            <v>0.19289850655288016</v>
          </cell>
          <cell r="U41">
            <v>0.54289850655288019</v>
          </cell>
        </row>
        <row r="42">
          <cell r="M42">
            <v>2.74</v>
          </cell>
          <cell r="N42">
            <v>8.2545971756578324E-2</v>
          </cell>
          <cell r="O42">
            <v>0.19289850655288016</v>
          </cell>
          <cell r="P42">
            <v>0.54289850655288019</v>
          </cell>
          <cell r="R42">
            <v>6.51</v>
          </cell>
          <cell r="S42">
            <v>8.2545971756578324E-2</v>
          </cell>
          <cell r="T42">
            <v>0.19289850655288016</v>
          </cell>
          <cell r="U42">
            <v>0.54289850655288019</v>
          </cell>
        </row>
        <row r="43">
          <cell r="M43">
            <v>2.94</v>
          </cell>
          <cell r="N43">
            <v>6.6671746418774755E-2</v>
          </cell>
          <cell r="O43">
            <v>0.19289850655288016</v>
          </cell>
          <cell r="P43">
            <v>0.54289850655288019</v>
          </cell>
          <cell r="R43">
            <v>6.3100000000000005</v>
          </cell>
          <cell r="S43">
            <v>6.6671746418774755E-2</v>
          </cell>
          <cell r="T43">
            <v>0.19289850655288016</v>
          </cell>
          <cell r="U43">
            <v>0.54289850655288019</v>
          </cell>
        </row>
        <row r="44">
          <cell r="M44">
            <v>3.14</v>
          </cell>
          <cell r="N44">
            <v>4.4447830945849885E-2</v>
          </cell>
          <cell r="O44">
            <v>0.19289850655288016</v>
          </cell>
          <cell r="P44">
            <v>0.54289850655288019</v>
          </cell>
          <cell r="R44">
            <v>6.1099999999999994</v>
          </cell>
          <cell r="S44">
            <v>4.4447830945849885E-2</v>
          </cell>
          <cell r="T44">
            <v>0.19289850655288016</v>
          </cell>
          <cell r="U44">
            <v>0.54289850655288019</v>
          </cell>
        </row>
        <row r="45">
          <cell r="M45">
            <v>3.34</v>
          </cell>
          <cell r="N45">
            <v>3.1748450675606985E-2</v>
          </cell>
          <cell r="O45">
            <v>0.19289850655288016</v>
          </cell>
          <cell r="P45">
            <v>0.54289850655288019</v>
          </cell>
          <cell r="R45">
            <v>5.91</v>
          </cell>
          <cell r="S45">
            <v>3.1748450675606985E-2</v>
          </cell>
          <cell r="T45">
            <v>0.19289850655288016</v>
          </cell>
          <cell r="U45">
            <v>0.54289850655288019</v>
          </cell>
        </row>
        <row r="46">
          <cell r="M46">
            <v>3.54</v>
          </cell>
          <cell r="N46">
            <v>1.2699380270242767E-2</v>
          </cell>
          <cell r="O46">
            <v>0.19289850655288016</v>
          </cell>
          <cell r="P46">
            <v>0.54289850655288019</v>
          </cell>
          <cell r="R46">
            <v>5.71</v>
          </cell>
          <cell r="S46">
            <v>1.2699380270242767E-2</v>
          </cell>
          <cell r="T46">
            <v>0.19289850655288016</v>
          </cell>
          <cell r="U46">
            <v>0.54289850655288019</v>
          </cell>
        </row>
        <row r="47">
          <cell r="M47">
            <v>3.74</v>
          </cell>
          <cell r="N47">
            <v>0</v>
          </cell>
          <cell r="O47">
            <v>0.19289850655288016</v>
          </cell>
          <cell r="P47">
            <v>0.54289850655288019</v>
          </cell>
          <cell r="R47">
            <v>5.51</v>
          </cell>
          <cell r="S47">
            <v>0</v>
          </cell>
          <cell r="T47">
            <v>0.19289850655288016</v>
          </cell>
          <cell r="U47">
            <v>0.54289850655288019</v>
          </cell>
        </row>
        <row r="48">
          <cell r="M48">
            <v>3.94</v>
          </cell>
          <cell r="N48">
            <v>3.1748450675606579E-3</v>
          </cell>
          <cell r="O48">
            <v>0.19289850655288016</v>
          </cell>
          <cell r="P48">
            <v>0.54289850655288019</v>
          </cell>
          <cell r="R48">
            <v>5.3100000000000005</v>
          </cell>
          <cell r="S48">
            <v>3.1748450675606579E-3</v>
          </cell>
          <cell r="T48">
            <v>0.19289850655288016</v>
          </cell>
          <cell r="U48">
            <v>0.54289850655288019</v>
          </cell>
        </row>
        <row r="49">
          <cell r="M49">
            <v>4.1399999999999997</v>
          </cell>
          <cell r="N49">
            <v>9.5245352026821078E-3</v>
          </cell>
          <cell r="O49">
            <v>0.19289850655288016</v>
          </cell>
          <cell r="P49">
            <v>0.54289850655288019</v>
          </cell>
          <cell r="R49">
            <v>5.1100000000000003</v>
          </cell>
          <cell r="S49">
            <v>9.5245352026821078E-3</v>
          </cell>
          <cell r="T49">
            <v>0.19289850655288016</v>
          </cell>
          <cell r="U49">
            <v>0.54289850655288019</v>
          </cell>
        </row>
        <row r="50">
          <cell r="M50">
            <v>4.34</v>
          </cell>
          <cell r="N50">
            <v>6.3496901351214512E-3</v>
          </cell>
          <cell r="O50">
            <v>0.19289850655288016</v>
          </cell>
          <cell r="P50">
            <v>0.54289850655288019</v>
          </cell>
          <cell r="R50">
            <v>4.91</v>
          </cell>
          <cell r="S50">
            <v>6.3496901351214512E-3</v>
          </cell>
          <cell r="T50">
            <v>0.19289850655288016</v>
          </cell>
          <cell r="U50">
            <v>0.54289850655288019</v>
          </cell>
        </row>
        <row r="51">
          <cell r="M51">
            <v>4.54</v>
          </cell>
          <cell r="N51">
            <v>1.2699380270242767E-2</v>
          </cell>
          <cell r="O51">
            <v>0.19289850655288016</v>
          </cell>
          <cell r="P51">
            <v>0.54289850655288019</v>
          </cell>
          <cell r="R51">
            <v>4.71</v>
          </cell>
          <cell r="S51">
            <v>1.2699380270242767E-2</v>
          </cell>
          <cell r="T51">
            <v>0.19289850655288016</v>
          </cell>
          <cell r="U51">
            <v>0.54289850655288019</v>
          </cell>
        </row>
        <row r="52">
          <cell r="M52">
            <v>4.74</v>
          </cell>
          <cell r="N52">
            <v>9.5245352026821078E-3</v>
          </cell>
          <cell r="O52">
            <v>0.19289850655288016</v>
          </cell>
          <cell r="P52">
            <v>0.54289850655288019</v>
          </cell>
          <cell r="R52">
            <v>4.51</v>
          </cell>
          <cell r="S52">
            <v>9.5245352026821078E-3</v>
          </cell>
          <cell r="T52">
            <v>0.19289850655288016</v>
          </cell>
          <cell r="U52">
            <v>0.54289850655288019</v>
          </cell>
        </row>
        <row r="53">
          <cell r="M53">
            <v>4.9400000000000004</v>
          </cell>
          <cell r="N53">
            <v>9.5245352026821078E-3</v>
          </cell>
          <cell r="O53">
            <v>0.19289850655288016</v>
          </cell>
          <cell r="P53">
            <v>0.54289850655288019</v>
          </cell>
          <cell r="R53">
            <v>4.3099999999999996</v>
          </cell>
          <cell r="S53">
            <v>9.5245352026821078E-3</v>
          </cell>
          <cell r="T53">
            <v>0.19289850655288016</v>
          </cell>
          <cell r="U53">
            <v>0.54289850655288019</v>
          </cell>
        </row>
        <row r="54">
          <cell r="M54">
            <v>5.14</v>
          </cell>
          <cell r="N54">
            <v>1.2699380270242767E-2</v>
          </cell>
          <cell r="O54">
            <v>0.19289850655288016</v>
          </cell>
          <cell r="P54">
            <v>0.54289850655288019</v>
          </cell>
          <cell r="R54">
            <v>4.1100000000000003</v>
          </cell>
          <cell r="S54">
            <v>1.2699380270242767E-2</v>
          </cell>
          <cell r="T54">
            <v>0.19289850655288016</v>
          </cell>
          <cell r="U54">
            <v>0.54289850655288019</v>
          </cell>
        </row>
        <row r="55">
          <cell r="M55">
            <v>5.34</v>
          </cell>
          <cell r="N55">
            <v>9.5245352026821078E-3</v>
          </cell>
          <cell r="O55">
            <v>0.19289850655288016</v>
          </cell>
          <cell r="P55">
            <v>0.54289850655288019</v>
          </cell>
          <cell r="R55">
            <v>3.91</v>
          </cell>
          <cell r="S55">
            <v>9.5245352026821078E-3</v>
          </cell>
          <cell r="T55">
            <v>0.19289850655288016</v>
          </cell>
          <cell r="U55">
            <v>0.54289850655288019</v>
          </cell>
        </row>
        <row r="56">
          <cell r="M56">
            <v>5.54</v>
          </cell>
          <cell r="N56">
            <v>2.8573605608046327E-2</v>
          </cell>
          <cell r="O56">
            <v>0.19289850655288016</v>
          </cell>
          <cell r="P56">
            <v>0.54289850655288019</v>
          </cell>
          <cell r="R56">
            <v>3.71</v>
          </cell>
          <cell r="S56">
            <v>2.8573605608046327E-2</v>
          </cell>
          <cell r="T56">
            <v>0.19289850655288016</v>
          </cell>
          <cell r="U56">
            <v>0.54289850655288019</v>
          </cell>
        </row>
        <row r="57">
          <cell r="M57">
            <v>5.74</v>
          </cell>
          <cell r="N57">
            <v>1.5874225337803558E-2</v>
          </cell>
          <cell r="O57">
            <v>0.19289850655288016</v>
          </cell>
          <cell r="P57">
            <v>0.54289850655288019</v>
          </cell>
          <cell r="R57">
            <v>3.51</v>
          </cell>
          <cell r="S57">
            <v>1.5874225337803558E-2</v>
          </cell>
          <cell r="T57">
            <v>0.19289850655288016</v>
          </cell>
          <cell r="U57">
            <v>0.54289850655288019</v>
          </cell>
        </row>
        <row r="58">
          <cell r="M58">
            <v>5.94</v>
          </cell>
          <cell r="N58">
            <v>3.1748450675606985E-2</v>
          </cell>
          <cell r="O58">
            <v>0.19289850655288016</v>
          </cell>
          <cell r="P58">
            <v>0.54289850655288019</v>
          </cell>
          <cell r="R58">
            <v>3.3099999999999996</v>
          </cell>
          <cell r="S58">
            <v>3.1748450675606985E-2</v>
          </cell>
          <cell r="T58">
            <v>0.19289850655288016</v>
          </cell>
          <cell r="U58">
            <v>0.54289850655288019</v>
          </cell>
        </row>
        <row r="59">
          <cell r="M59">
            <v>6.14</v>
          </cell>
          <cell r="N59">
            <v>4.4447830945849885E-2</v>
          </cell>
          <cell r="O59">
            <v>0.19289850655288016</v>
          </cell>
          <cell r="P59">
            <v>0.54289850655288019</v>
          </cell>
          <cell r="R59">
            <v>3.1100000000000003</v>
          </cell>
          <cell r="S59">
            <v>4.4447830945849885E-2</v>
          </cell>
          <cell r="T59">
            <v>0.19289850655288016</v>
          </cell>
          <cell r="U59">
            <v>0.54289850655288019</v>
          </cell>
        </row>
        <row r="60">
          <cell r="M60">
            <v>6.34</v>
          </cell>
          <cell r="N60">
            <v>5.3972366148531993E-2</v>
          </cell>
          <cell r="O60">
            <v>0.19289850655288016</v>
          </cell>
          <cell r="P60">
            <v>0.54289850655288019</v>
          </cell>
          <cell r="R60">
            <v>2.91</v>
          </cell>
          <cell r="S60">
            <v>5.3972366148531993E-2</v>
          </cell>
          <cell r="T60">
            <v>0.19289850655288016</v>
          </cell>
          <cell r="U60">
            <v>0.54289850655288019</v>
          </cell>
        </row>
        <row r="61">
          <cell r="M61">
            <v>6.54</v>
          </cell>
          <cell r="N61">
            <v>5.3972366148531993E-2</v>
          </cell>
          <cell r="O61">
            <v>0.19289850655288016</v>
          </cell>
          <cell r="P61">
            <v>0.54289850655288019</v>
          </cell>
          <cell r="R61">
            <v>2.71</v>
          </cell>
          <cell r="S61">
            <v>5.3972366148531993E-2</v>
          </cell>
          <cell r="T61">
            <v>0.19289850655288016</v>
          </cell>
          <cell r="U61">
            <v>0.54289850655288019</v>
          </cell>
        </row>
        <row r="62">
          <cell r="M62">
            <v>6.74</v>
          </cell>
          <cell r="N62">
            <v>6.3496901351214108E-2</v>
          </cell>
          <cell r="O62">
            <v>0.19289850655288016</v>
          </cell>
          <cell r="P62">
            <v>0.54289850655288019</v>
          </cell>
          <cell r="R62">
            <v>2.5099999999999998</v>
          </cell>
          <cell r="S62">
            <v>6.3496901351214108E-2</v>
          </cell>
          <cell r="T62">
            <v>0.19289850655288016</v>
          </cell>
          <cell r="U62">
            <v>0.54289850655288019</v>
          </cell>
        </row>
        <row r="63">
          <cell r="M63">
            <v>6.94</v>
          </cell>
          <cell r="N63">
            <v>6.0322056283653308E-2</v>
          </cell>
          <cell r="O63">
            <v>0.19289850655288016</v>
          </cell>
          <cell r="P63">
            <v>0.54289850655288019</v>
          </cell>
          <cell r="R63">
            <v>2.3099999999999996</v>
          </cell>
          <cell r="S63">
            <v>6.0322056283653308E-2</v>
          </cell>
          <cell r="T63">
            <v>0.19289850655288016</v>
          </cell>
          <cell r="U63">
            <v>0.54289850655288019</v>
          </cell>
        </row>
        <row r="64">
          <cell r="M64">
            <v>7.14</v>
          </cell>
          <cell r="N64">
            <v>7.3021436553896216E-2</v>
          </cell>
          <cell r="O64">
            <v>0.19289850655288016</v>
          </cell>
          <cell r="P64">
            <v>0.54289850655288019</v>
          </cell>
          <cell r="R64">
            <v>2.1100000000000003</v>
          </cell>
          <cell r="S64">
            <v>7.3021436553896216E-2</v>
          </cell>
          <cell r="T64">
            <v>0.19289850655288016</v>
          </cell>
          <cell r="U64">
            <v>0.54289850655288019</v>
          </cell>
        </row>
        <row r="65">
          <cell r="M65">
            <v>7.34</v>
          </cell>
          <cell r="N65">
            <v>9.5245352026821092E-2</v>
          </cell>
          <cell r="O65">
            <v>0.19289850655288016</v>
          </cell>
          <cell r="P65">
            <v>0.54289850655288019</v>
          </cell>
          <cell r="R65">
            <v>1.9100000000000001</v>
          </cell>
          <cell r="S65">
            <v>9.5245352026821092E-2</v>
          </cell>
          <cell r="T65">
            <v>0.19289850655288016</v>
          </cell>
          <cell r="U65">
            <v>0.54289850655288019</v>
          </cell>
        </row>
        <row r="66">
          <cell r="M66">
            <v>7.54</v>
          </cell>
          <cell r="N66">
            <v>9.8420197094381809E-2</v>
          </cell>
          <cell r="O66">
            <v>0.19289850655288016</v>
          </cell>
          <cell r="P66">
            <v>0.54289850655288019</v>
          </cell>
          <cell r="R66">
            <v>1.71</v>
          </cell>
          <cell r="S66">
            <v>9.8420197094381809E-2</v>
          </cell>
          <cell r="T66">
            <v>0.19289850655288016</v>
          </cell>
          <cell r="U66">
            <v>0.54289850655288019</v>
          </cell>
        </row>
        <row r="67">
          <cell r="M67">
            <v>7.74</v>
          </cell>
          <cell r="N67">
            <v>0.14921771817535301</v>
          </cell>
          <cell r="O67">
            <v>0.19289850655288016</v>
          </cell>
          <cell r="P67">
            <v>0.54289850655288019</v>
          </cell>
          <cell r="R67">
            <v>1.5099999999999998</v>
          </cell>
          <cell r="S67">
            <v>0.14921771817535301</v>
          </cell>
          <cell r="T67">
            <v>0.19289850655288016</v>
          </cell>
          <cell r="U67">
            <v>0.54289850655288019</v>
          </cell>
        </row>
        <row r="68">
          <cell r="M68">
            <v>7.94</v>
          </cell>
          <cell r="N68">
            <v>0.16509194351315656</v>
          </cell>
          <cell r="O68">
            <v>0.19289850655288016</v>
          </cell>
          <cell r="P68">
            <v>0.54289850655288019</v>
          </cell>
          <cell r="R68">
            <v>1.3099999999999996</v>
          </cell>
          <cell r="S68">
            <v>0.16509194351315656</v>
          </cell>
          <cell r="T68">
            <v>0.19289850655288016</v>
          </cell>
          <cell r="U68">
            <v>0.54289850655288019</v>
          </cell>
        </row>
        <row r="69">
          <cell r="M69">
            <v>8.14</v>
          </cell>
          <cell r="N69">
            <v>0.23493853499949199</v>
          </cell>
          <cell r="O69">
            <v>0.19289850655288016</v>
          </cell>
          <cell r="P69">
            <v>0.54289850655288019</v>
          </cell>
          <cell r="R69">
            <v>1.1099999999999994</v>
          </cell>
          <cell r="S69">
            <v>0.23493853499949199</v>
          </cell>
          <cell r="T69">
            <v>0.19289850655288016</v>
          </cell>
          <cell r="U69">
            <v>0.54289850655288019</v>
          </cell>
        </row>
        <row r="70">
          <cell r="M70">
            <v>8.34</v>
          </cell>
          <cell r="N70">
            <v>0.33018388702631313</v>
          </cell>
          <cell r="O70">
            <v>0.19289850655288016</v>
          </cell>
          <cell r="P70">
            <v>0.54289850655288019</v>
          </cell>
          <cell r="R70">
            <v>0.91000000000000014</v>
          </cell>
          <cell r="S70">
            <v>0.33018388702631313</v>
          </cell>
          <cell r="T70">
            <v>0.19289850655288016</v>
          </cell>
          <cell r="U70">
            <v>0.54289850655288019</v>
          </cell>
        </row>
        <row r="71">
          <cell r="M71">
            <v>8.5399999999999991</v>
          </cell>
          <cell r="N71">
            <v>0.4190795489180128</v>
          </cell>
          <cell r="O71">
            <v>0.19289850655288016</v>
          </cell>
          <cell r="P71">
            <v>0.54289850655288019</v>
          </cell>
          <cell r="R71">
            <v>0.71000000000000085</v>
          </cell>
          <cell r="S71">
            <v>0.4190795489180128</v>
          </cell>
          <cell r="T71">
            <v>0.19289850655288016</v>
          </cell>
          <cell r="U71">
            <v>0.54289850655288019</v>
          </cell>
        </row>
        <row r="72">
          <cell r="M72">
            <v>8.5399999999999991</v>
          </cell>
          <cell r="N72">
            <v>0.41907954891801291</v>
          </cell>
          <cell r="O72">
            <v>0.19289850655288016</v>
          </cell>
          <cell r="P72">
            <v>0.54289850655288019</v>
          </cell>
          <cell r="R72">
            <v>0.71000000000000085</v>
          </cell>
          <cell r="S72">
            <v>0.41907954891801291</v>
          </cell>
          <cell r="T72">
            <v>0.19289850655288016</v>
          </cell>
          <cell r="U72">
            <v>0.54289850655288019</v>
          </cell>
        </row>
        <row r="73">
          <cell r="M73">
            <v>8.58</v>
          </cell>
          <cell r="N73">
            <v>0.55559788682312328</v>
          </cell>
          <cell r="O73">
            <v>0.19289850655288016</v>
          </cell>
          <cell r="P73">
            <v>0.54289850655288019</v>
          </cell>
          <cell r="R73">
            <v>0.66999999999999993</v>
          </cell>
          <cell r="S73">
            <v>0.55559788682312328</v>
          </cell>
          <cell r="T73">
            <v>0.19289850655288016</v>
          </cell>
          <cell r="U73">
            <v>0.54289850655288019</v>
          </cell>
        </row>
        <row r="74">
          <cell r="M74">
            <v>8.7799999999999994</v>
          </cell>
          <cell r="N74">
            <v>1.0000761962816216</v>
          </cell>
          <cell r="O74">
            <v>0.19289850655288016</v>
          </cell>
          <cell r="P74">
            <v>0.54289850655288019</v>
          </cell>
          <cell r="R74">
            <v>0.47000000000000064</v>
          </cell>
          <cell r="S74">
            <v>1.0000761962816216</v>
          </cell>
          <cell r="T74">
            <v>0.19289850655288016</v>
          </cell>
          <cell r="U74">
            <v>0.54289850655288019</v>
          </cell>
        </row>
        <row r="75">
          <cell r="M75">
            <v>8.98</v>
          </cell>
          <cell r="N75">
            <v>1.1905669003352637</v>
          </cell>
          <cell r="O75">
            <v>0.19289850655288016</v>
          </cell>
          <cell r="P75">
            <v>0.54289850655288019</v>
          </cell>
          <cell r="R75">
            <v>0.26999999999999957</v>
          </cell>
          <cell r="S75">
            <v>1.1905669003352637</v>
          </cell>
          <cell r="T75">
            <v>0.19289850655288016</v>
          </cell>
          <cell r="U75">
            <v>0.54289850655288019</v>
          </cell>
        </row>
        <row r="76">
          <cell r="M76">
            <v>9.18</v>
          </cell>
          <cell r="N76">
            <v>1.371533069186224</v>
          </cell>
          <cell r="O76">
            <v>0.19289850655288016</v>
          </cell>
          <cell r="P76">
            <v>0.54289850655288019</v>
          </cell>
          <cell r="R76">
            <v>7.0000000000000284E-2</v>
          </cell>
          <cell r="S76">
            <v>1.371533069186224</v>
          </cell>
          <cell r="T76">
            <v>0.19289850655288016</v>
          </cell>
          <cell r="U76">
            <v>0.54289850655288019</v>
          </cell>
        </row>
        <row r="77">
          <cell r="M77">
            <v>9.25</v>
          </cell>
          <cell r="N77">
            <v>1.4636035761454842</v>
          </cell>
          <cell r="O77">
            <v>0.19289850655288016</v>
          </cell>
          <cell r="P77">
            <v>0.54289850655288019</v>
          </cell>
          <cell r="R77">
            <v>0</v>
          </cell>
          <cell r="S77">
            <v>1.4636035761454842</v>
          </cell>
          <cell r="T77">
            <v>0.19289850655288016</v>
          </cell>
          <cell r="U77">
            <v>0.54289850655288019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208_20240410_HOBOchecks_9" connectionId="1" xr16:uid="{62B40DA6-039D-2645-A425-4E6A43089C9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1218_20250206_HOBOchecks" connectionId="2" xr16:uid="{8F96D26E-7D5E-C14C-9203-557257B0F52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6"/>
  <sheetViews>
    <sheetView tabSelected="1" workbookViewId="0">
      <selection activeCell="C24" sqref="C24"/>
    </sheetView>
  </sheetViews>
  <sheetFormatPr baseColWidth="10" defaultColWidth="12.796875" defaultRowHeight="15.75" customHeight="1" x14ac:dyDescent="0.2"/>
  <cols>
    <col min="1" max="1" width="15.3984375" style="3" customWidth="1"/>
    <col min="2" max="16384" width="12.796875" style="3"/>
  </cols>
  <sheetData>
    <row r="1" spans="1:29" ht="15.75" customHeight="1" x14ac:dyDescent="0.2">
      <c r="A1" s="4" t="s">
        <v>0</v>
      </c>
      <c r="B1" s="4" t="s">
        <v>1</v>
      </c>
      <c r="C1" s="4" t="s">
        <v>104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101</v>
      </c>
      <c r="Z1" s="4" t="s">
        <v>102</v>
      </c>
      <c r="AB1" s="4" t="s">
        <v>103</v>
      </c>
    </row>
    <row r="2" spans="1:29" ht="15.75" customHeight="1" x14ac:dyDescent="0.2">
      <c r="A2" s="5">
        <v>45330.666666666664</v>
      </c>
      <c r="B2" s="6">
        <v>1</v>
      </c>
      <c r="C2" s="28">
        <v>3.270847082</v>
      </c>
      <c r="D2" s="6">
        <v>61</v>
      </c>
      <c r="E2" s="6">
        <v>53</v>
      </c>
      <c r="F2" s="6">
        <f t="shared" ref="F2:F15" si="0">(G2+H2)/2-I2</f>
        <v>12</v>
      </c>
      <c r="G2" s="6">
        <v>16</v>
      </c>
      <c r="H2" s="6">
        <v>18</v>
      </c>
      <c r="I2" s="6">
        <v>5</v>
      </c>
      <c r="L2" s="6"/>
      <c r="M2" s="6" t="s">
        <v>23</v>
      </c>
      <c r="N2" s="6" t="s">
        <v>24</v>
      </c>
      <c r="O2" s="6">
        <v>16</v>
      </c>
      <c r="P2" s="6">
        <v>16</v>
      </c>
    </row>
    <row r="3" spans="1:29" ht="15.75" customHeight="1" x14ac:dyDescent="0.2">
      <c r="A3" s="5">
        <v>45333.502083333333</v>
      </c>
      <c r="B3" s="6">
        <v>1</v>
      </c>
      <c r="C3" s="28">
        <v>3.270847082</v>
      </c>
      <c r="D3" s="6">
        <v>55</v>
      </c>
      <c r="E3" s="6">
        <v>54</v>
      </c>
      <c r="F3" s="6">
        <f t="shared" si="0"/>
        <v>10.75</v>
      </c>
      <c r="G3" s="6">
        <v>23.5</v>
      </c>
      <c r="H3" s="6">
        <v>25</v>
      </c>
      <c r="I3" s="6">
        <v>13.5</v>
      </c>
      <c r="J3" s="8">
        <v>0.46700000000000003</v>
      </c>
      <c r="K3" s="8">
        <v>0.628</v>
      </c>
      <c r="L3" s="6">
        <f t="shared" ref="L3:L6" si="1">(K3^2)/(J3^2)</f>
        <v>1.8083626409401665</v>
      </c>
      <c r="M3" s="6" t="s">
        <v>23</v>
      </c>
      <c r="N3" s="6" t="s">
        <v>25</v>
      </c>
      <c r="O3" s="6">
        <f>(23+24)/2</f>
        <v>23.5</v>
      </c>
      <c r="P3" s="6">
        <v>24</v>
      </c>
      <c r="Q3" s="6">
        <v>62</v>
      </c>
      <c r="R3" s="6">
        <v>40.299999999999997</v>
      </c>
      <c r="S3" s="6">
        <v>84</v>
      </c>
      <c r="T3" s="6">
        <v>40.4</v>
      </c>
    </row>
    <row r="4" spans="1:29" ht="15.75" customHeight="1" x14ac:dyDescent="0.2">
      <c r="A4" s="5">
        <v>45335.65347222222</v>
      </c>
      <c r="B4" s="6">
        <v>1</v>
      </c>
      <c r="C4" s="28">
        <v>3.270847082</v>
      </c>
      <c r="D4" s="6">
        <v>75</v>
      </c>
      <c r="E4" s="6">
        <v>60</v>
      </c>
      <c r="F4" s="6">
        <f t="shared" si="0"/>
        <v>4.5</v>
      </c>
      <c r="G4" s="6">
        <v>48</v>
      </c>
      <c r="H4" s="6">
        <v>51</v>
      </c>
      <c r="I4" s="6">
        <v>45</v>
      </c>
      <c r="J4" s="8">
        <v>0.92</v>
      </c>
      <c r="K4" s="8">
        <v>0.94399999999999995</v>
      </c>
      <c r="L4" s="6">
        <f t="shared" si="1"/>
        <v>1.0528544423440451</v>
      </c>
      <c r="M4" s="6" t="s">
        <v>26</v>
      </c>
      <c r="N4" s="6" t="s">
        <v>27</v>
      </c>
      <c r="O4" s="6">
        <f>(47+48)/2</f>
        <v>47.5</v>
      </c>
      <c r="P4" s="6">
        <v>48</v>
      </c>
      <c r="Q4" s="6">
        <v>123</v>
      </c>
      <c r="R4" s="6">
        <v>40.200000000000003</v>
      </c>
      <c r="S4" s="6">
        <v>126</v>
      </c>
      <c r="T4" s="6">
        <v>40.1</v>
      </c>
      <c r="U4" s="6">
        <v>1.6</v>
      </c>
      <c r="V4" s="6">
        <v>1.6</v>
      </c>
      <c r="W4" s="6">
        <f t="shared" ref="W4:W6" si="2">G4/2.54/12</f>
        <v>1.5748031496062991</v>
      </c>
      <c r="X4" s="6">
        <f t="shared" ref="X4:X6" si="3">I4/2.54/12</f>
        <v>1.4763779527559056</v>
      </c>
      <c r="Y4" s="29">
        <f>U4-W4</f>
        <v>2.5196850393701009E-2</v>
      </c>
      <c r="Z4" s="29">
        <f>V4-X4</f>
        <v>0.12362204724409454</v>
      </c>
    </row>
    <row r="5" spans="1:29" ht="15.75" customHeight="1" x14ac:dyDescent="0.2">
      <c r="A5" s="5">
        <v>45340.98333333333</v>
      </c>
      <c r="B5" s="6">
        <v>1</v>
      </c>
      <c r="C5" s="28">
        <v>4.1121864319999997</v>
      </c>
      <c r="D5" s="6">
        <v>125</v>
      </c>
      <c r="E5" s="6">
        <v>59</v>
      </c>
      <c r="F5" s="6">
        <f t="shared" si="0"/>
        <v>5.5</v>
      </c>
      <c r="G5" s="6">
        <v>20</v>
      </c>
      <c r="H5" s="6">
        <v>23</v>
      </c>
      <c r="I5" s="6">
        <v>16</v>
      </c>
      <c r="J5" s="8">
        <v>0.30299999999999999</v>
      </c>
      <c r="K5" s="8">
        <v>0.39100000000000001</v>
      </c>
      <c r="L5" s="6">
        <f t="shared" si="1"/>
        <v>1.6652071147708831</v>
      </c>
      <c r="M5" s="6" t="s">
        <v>26</v>
      </c>
      <c r="N5" s="6" t="s">
        <v>28</v>
      </c>
      <c r="O5" s="6">
        <f>(20+21)/2</f>
        <v>20.5</v>
      </c>
      <c r="P5" s="6">
        <v>22</v>
      </c>
      <c r="Q5" s="6">
        <v>40</v>
      </c>
      <c r="R5" s="6">
        <v>40.5</v>
      </c>
      <c r="S5" s="6">
        <v>52</v>
      </c>
      <c r="T5" s="6">
        <v>40.5</v>
      </c>
      <c r="U5" s="6">
        <v>0.6</v>
      </c>
      <c r="V5" s="6">
        <v>0.55000000000000004</v>
      </c>
      <c r="W5" s="6">
        <f t="shared" si="2"/>
        <v>0.65616797900262469</v>
      </c>
      <c r="X5" s="6">
        <f t="shared" si="3"/>
        <v>0.52493438320209973</v>
      </c>
      <c r="Y5" s="29">
        <f t="shared" ref="Y5:Y26" si="4">U5-W5</f>
        <v>-5.6167979002624713E-2</v>
      </c>
      <c r="Z5" s="29">
        <f t="shared" ref="Z5:Z26" si="5">V5-X5</f>
        <v>2.5065616797900314E-2</v>
      </c>
    </row>
    <row r="6" spans="1:29" ht="15.75" customHeight="1" x14ac:dyDescent="0.2">
      <c r="A6" s="5">
        <v>45344.365972222222</v>
      </c>
      <c r="B6" s="6">
        <v>2</v>
      </c>
      <c r="C6" s="28">
        <v>4.6332740780000004</v>
      </c>
      <c r="D6" s="6">
        <v>58</v>
      </c>
      <c r="E6" s="6">
        <v>48</v>
      </c>
      <c r="F6" s="6">
        <f t="shared" si="0"/>
        <v>13</v>
      </c>
      <c r="G6" s="6">
        <v>17</v>
      </c>
      <c r="H6" s="6">
        <v>19</v>
      </c>
      <c r="I6" s="6">
        <v>5</v>
      </c>
      <c r="J6" s="8">
        <v>0.28100000000000003</v>
      </c>
      <c r="K6" s="8">
        <v>0.3</v>
      </c>
      <c r="L6" s="6">
        <f t="shared" si="1"/>
        <v>1.1398031939818389</v>
      </c>
      <c r="M6" s="6" t="s">
        <v>23</v>
      </c>
      <c r="N6" s="6" t="s">
        <v>29</v>
      </c>
      <c r="O6" s="6">
        <f>(16+17)/2</f>
        <v>16.5</v>
      </c>
      <c r="P6" s="6">
        <v>17</v>
      </c>
      <c r="Q6" s="6">
        <v>37</v>
      </c>
      <c r="R6" s="6">
        <v>40.4</v>
      </c>
      <c r="S6" s="6">
        <v>40</v>
      </c>
      <c r="T6" s="6">
        <v>40.9</v>
      </c>
      <c r="U6" s="6">
        <v>0.5</v>
      </c>
      <c r="V6" s="6">
        <v>0.2</v>
      </c>
      <c r="W6" s="6">
        <f t="shared" si="2"/>
        <v>0.55774278215223094</v>
      </c>
      <c r="X6" s="6">
        <f t="shared" si="3"/>
        <v>0.16404199475065617</v>
      </c>
      <c r="Y6" s="29">
        <f t="shared" si="4"/>
        <v>-5.7742782152230943E-2</v>
      </c>
      <c r="Z6" s="29">
        <f t="shared" si="5"/>
        <v>3.5958005249343838E-2</v>
      </c>
    </row>
    <row r="7" spans="1:29" ht="15.75" customHeight="1" x14ac:dyDescent="0.2">
      <c r="A7" s="5">
        <v>45348.727083333331</v>
      </c>
      <c r="B7" s="6">
        <v>2</v>
      </c>
      <c r="C7" s="28">
        <v>9.1880836489999993</v>
      </c>
      <c r="D7" s="6">
        <v>54</v>
      </c>
      <c r="E7" s="6">
        <v>51</v>
      </c>
      <c r="F7" s="6">
        <f t="shared" si="0"/>
        <v>10</v>
      </c>
      <c r="G7" s="6">
        <v>15</v>
      </c>
      <c r="H7" s="6">
        <v>15</v>
      </c>
      <c r="I7" s="6">
        <v>5</v>
      </c>
      <c r="J7" s="9"/>
      <c r="K7" s="9"/>
      <c r="M7" s="6" t="s">
        <v>23</v>
      </c>
      <c r="N7" s="6" t="s">
        <v>30</v>
      </c>
      <c r="O7" s="6">
        <v>15</v>
      </c>
      <c r="P7" s="6">
        <v>15</v>
      </c>
      <c r="Y7" s="29"/>
      <c r="Z7" s="29"/>
    </row>
    <row r="8" spans="1:29" ht="15.75" customHeight="1" x14ac:dyDescent="0.2">
      <c r="A8" s="5">
        <v>45350.48541666667</v>
      </c>
      <c r="B8" s="6">
        <v>2</v>
      </c>
      <c r="C8" s="28">
        <v>10.07562637</v>
      </c>
      <c r="D8" s="6">
        <v>65</v>
      </c>
      <c r="E8" s="6">
        <v>54</v>
      </c>
      <c r="F8" s="6">
        <f t="shared" si="0"/>
        <v>11.5</v>
      </c>
      <c r="G8" s="6">
        <v>16</v>
      </c>
      <c r="H8" s="6">
        <v>17</v>
      </c>
      <c r="I8" s="6">
        <v>5</v>
      </c>
      <c r="J8" s="8">
        <v>0.183</v>
      </c>
      <c r="K8" s="8">
        <v>0.23899999999999999</v>
      </c>
      <c r="L8" s="6">
        <f t="shared" ref="L8:L26" si="6">(K8^2)/(J8^2)</f>
        <v>1.7056645465675297</v>
      </c>
      <c r="M8" s="6" t="s">
        <v>23</v>
      </c>
      <c r="N8" s="6" t="s">
        <v>31</v>
      </c>
      <c r="O8" s="6">
        <v>15</v>
      </c>
      <c r="P8" s="6">
        <v>15</v>
      </c>
      <c r="Q8" s="6">
        <v>24</v>
      </c>
      <c r="R8" s="6">
        <v>41</v>
      </c>
      <c r="S8" s="6">
        <v>31</v>
      </c>
      <c r="T8" s="6">
        <v>40</v>
      </c>
      <c r="U8" s="6">
        <v>0.45</v>
      </c>
      <c r="V8" s="6">
        <v>0.15</v>
      </c>
      <c r="W8" s="6">
        <f t="shared" ref="W8:W15" si="7">G8/2.54/12</f>
        <v>0.52493438320209973</v>
      </c>
      <c r="X8" s="6">
        <f t="shared" ref="X8:X15" si="8">I8/2.54/12</f>
        <v>0.16404199475065617</v>
      </c>
      <c r="Y8" s="29">
        <f t="shared" si="4"/>
        <v>-7.4934383202099719E-2</v>
      </c>
      <c r="Z8" s="29">
        <f t="shared" si="5"/>
        <v>-1.4041994750656178E-2</v>
      </c>
    </row>
    <row r="9" spans="1:29" ht="15.75" customHeight="1" x14ac:dyDescent="0.2">
      <c r="A9" s="5">
        <v>45351.661805555559</v>
      </c>
      <c r="B9" s="6">
        <v>2</v>
      </c>
      <c r="C9" s="28">
        <v>7.4926490780000004</v>
      </c>
      <c r="D9" s="6">
        <v>68</v>
      </c>
      <c r="E9" s="6">
        <v>54</v>
      </c>
      <c r="F9" s="6">
        <f t="shared" si="0"/>
        <v>12.5</v>
      </c>
      <c r="G9" s="6">
        <v>25</v>
      </c>
      <c r="H9" s="6">
        <v>28</v>
      </c>
      <c r="I9" s="6">
        <v>14</v>
      </c>
      <c r="J9" s="8">
        <v>0.48</v>
      </c>
      <c r="K9" s="8">
        <v>0.60099999999999998</v>
      </c>
      <c r="L9" s="6">
        <f t="shared" si="6"/>
        <v>1.5677126736111111</v>
      </c>
      <c r="M9" s="6" t="s">
        <v>23</v>
      </c>
      <c r="N9" s="6" t="s">
        <v>32</v>
      </c>
      <c r="O9" s="6">
        <v>25.5</v>
      </c>
      <c r="P9" s="6">
        <v>26</v>
      </c>
      <c r="Q9" s="6">
        <v>64</v>
      </c>
      <c r="R9" s="6">
        <v>40.4</v>
      </c>
      <c r="S9" s="6">
        <v>80</v>
      </c>
      <c r="T9" s="6">
        <v>40.200000000000003</v>
      </c>
      <c r="U9" s="6">
        <v>0.8</v>
      </c>
      <c r="V9" s="6">
        <v>0.45</v>
      </c>
      <c r="W9" s="6">
        <f t="shared" si="7"/>
        <v>0.82020997375328086</v>
      </c>
      <c r="X9" s="6">
        <f t="shared" si="8"/>
        <v>0.45931758530183725</v>
      </c>
      <c r="Y9" s="29">
        <f t="shared" si="4"/>
        <v>-2.0209973753280819E-2</v>
      </c>
      <c r="Z9" s="29">
        <f t="shared" si="5"/>
        <v>-9.317585301837239E-3</v>
      </c>
    </row>
    <row r="10" spans="1:29" ht="15.75" customHeight="1" x14ac:dyDescent="0.2">
      <c r="A10" s="5">
        <v>45353.611111111109</v>
      </c>
      <c r="B10" s="6">
        <v>2</v>
      </c>
      <c r="C10" s="28">
        <v>10.46814346</v>
      </c>
      <c r="D10" s="6">
        <v>67</v>
      </c>
      <c r="E10" s="6">
        <v>57</v>
      </c>
      <c r="F10" s="6">
        <f t="shared" si="0"/>
        <v>13</v>
      </c>
      <c r="G10" s="6">
        <v>23</v>
      </c>
      <c r="H10" s="6">
        <v>27</v>
      </c>
      <c r="I10" s="6">
        <v>12</v>
      </c>
      <c r="J10" s="8">
        <v>0.47399999999999998</v>
      </c>
      <c r="K10" s="8">
        <v>0.55200000000000005</v>
      </c>
      <c r="L10" s="6">
        <f t="shared" si="6"/>
        <v>1.3561929178016345</v>
      </c>
      <c r="M10" s="6" t="s">
        <v>23</v>
      </c>
      <c r="N10" s="6" t="s">
        <v>33</v>
      </c>
      <c r="O10" s="6">
        <v>23</v>
      </c>
      <c r="P10" s="6">
        <v>23</v>
      </c>
      <c r="Q10" s="6">
        <v>63</v>
      </c>
      <c r="R10" s="6">
        <v>40.299999999999997</v>
      </c>
      <c r="S10" s="6">
        <v>73</v>
      </c>
      <c r="T10" s="6">
        <v>40</v>
      </c>
      <c r="U10" s="6">
        <v>0.8</v>
      </c>
      <c r="V10" s="6">
        <v>0.4</v>
      </c>
      <c r="W10" s="6">
        <f t="shared" si="7"/>
        <v>0.75459317585301833</v>
      </c>
      <c r="X10" s="6">
        <f t="shared" si="8"/>
        <v>0.39370078740157477</v>
      </c>
      <c r="Y10" s="29">
        <f t="shared" si="4"/>
        <v>4.5406824146981717E-2</v>
      </c>
      <c r="Z10" s="29">
        <f t="shared" si="5"/>
        <v>6.2992125984252523E-3</v>
      </c>
    </row>
    <row r="11" spans="1:29" ht="15.75" customHeight="1" x14ac:dyDescent="0.2">
      <c r="A11" s="5">
        <v>45359.576388888891</v>
      </c>
      <c r="B11" s="6">
        <v>2</v>
      </c>
      <c r="C11" s="28">
        <v>10.272037510000001</v>
      </c>
      <c r="D11" s="6">
        <v>68</v>
      </c>
      <c r="E11" s="6">
        <v>54</v>
      </c>
      <c r="F11" s="6">
        <f t="shared" si="0"/>
        <v>12</v>
      </c>
      <c r="G11" s="6">
        <v>23</v>
      </c>
      <c r="H11" s="6">
        <v>25</v>
      </c>
      <c r="I11" s="6">
        <v>12</v>
      </c>
      <c r="J11" s="8">
        <v>0.434</v>
      </c>
      <c r="K11" s="8">
        <v>0.53100000000000003</v>
      </c>
      <c r="L11" s="6">
        <f t="shared" si="6"/>
        <v>1.4969578882541572</v>
      </c>
      <c r="M11" s="6" t="s">
        <v>23</v>
      </c>
      <c r="N11" s="6" t="s">
        <v>52</v>
      </c>
      <c r="O11" s="6">
        <v>22</v>
      </c>
      <c r="P11" s="6">
        <v>22</v>
      </c>
      <c r="Q11" s="6">
        <v>58</v>
      </c>
      <c r="R11" s="6">
        <v>40.700000000000003</v>
      </c>
      <c r="S11" s="6">
        <v>71</v>
      </c>
      <c r="T11" s="6">
        <v>40.5</v>
      </c>
      <c r="U11" s="6">
        <v>0.75</v>
      </c>
      <c r="V11" s="6">
        <v>0.4</v>
      </c>
      <c r="W11" s="6">
        <f>G11/2.54/12</f>
        <v>0.75459317585301833</v>
      </c>
      <c r="X11" s="6">
        <f t="shared" si="8"/>
        <v>0.39370078740157477</v>
      </c>
      <c r="Y11" s="29">
        <f t="shared" si="4"/>
        <v>-4.5931758530183275E-3</v>
      </c>
      <c r="Z11" s="29">
        <f t="shared" si="5"/>
        <v>6.2992125984252523E-3</v>
      </c>
    </row>
    <row r="12" spans="1:29" ht="15.75" customHeight="1" x14ac:dyDescent="0.2">
      <c r="A12" s="5">
        <v>45363.53125</v>
      </c>
      <c r="B12" s="6">
        <v>2</v>
      </c>
      <c r="C12" s="28">
        <v>9.4846229550000007</v>
      </c>
      <c r="D12" s="6">
        <v>74</v>
      </c>
      <c r="E12" s="6">
        <v>58</v>
      </c>
      <c r="F12" s="6">
        <f t="shared" si="0"/>
        <v>12.5</v>
      </c>
      <c r="G12" s="6">
        <v>23</v>
      </c>
      <c r="H12" s="6">
        <v>26</v>
      </c>
      <c r="I12" s="6">
        <v>12</v>
      </c>
      <c r="J12" s="8">
        <v>0.47</v>
      </c>
      <c r="K12" s="8">
        <v>0.58599999999999997</v>
      </c>
      <c r="L12" s="6">
        <f t="shared" si="6"/>
        <v>1.5545314622000905</v>
      </c>
      <c r="M12" s="6" t="s">
        <v>23</v>
      </c>
      <c r="N12" s="6" t="s">
        <v>53</v>
      </c>
      <c r="O12" s="6">
        <v>22.5</v>
      </c>
      <c r="P12" s="6">
        <v>22.5</v>
      </c>
      <c r="Q12" s="6">
        <v>52</v>
      </c>
      <c r="R12" s="6">
        <v>40</v>
      </c>
      <c r="S12" s="6">
        <v>78</v>
      </c>
      <c r="T12" s="6">
        <v>40.200000000000003</v>
      </c>
      <c r="U12" s="6">
        <v>0.75</v>
      </c>
      <c r="V12" s="6">
        <v>0.4</v>
      </c>
      <c r="W12" s="6">
        <f>G12/2.54/12</f>
        <v>0.75459317585301833</v>
      </c>
      <c r="X12" s="6">
        <f t="shared" si="8"/>
        <v>0.39370078740157477</v>
      </c>
      <c r="Y12" s="29">
        <f t="shared" si="4"/>
        <v>-4.5931758530183275E-3</v>
      </c>
      <c r="Z12" s="29">
        <f t="shared" si="5"/>
        <v>6.2992125984252523E-3</v>
      </c>
    </row>
    <row r="13" spans="1:29" ht="15.75" customHeight="1" x14ac:dyDescent="0.2">
      <c r="A13" s="5">
        <v>45363.538194444445</v>
      </c>
      <c r="B13" s="6">
        <v>3</v>
      </c>
      <c r="C13" s="28">
        <v>9.4846229550000007</v>
      </c>
      <c r="D13" s="6">
        <v>64</v>
      </c>
      <c r="E13" s="6">
        <v>59</v>
      </c>
      <c r="F13" s="6">
        <f t="shared" si="0"/>
        <v>12</v>
      </c>
      <c r="G13" s="6">
        <v>23</v>
      </c>
      <c r="H13" s="6">
        <v>27</v>
      </c>
      <c r="I13" s="6">
        <v>13</v>
      </c>
      <c r="J13" s="8">
        <v>0.41899999999999998</v>
      </c>
      <c r="K13" s="8">
        <v>0.53700000000000003</v>
      </c>
      <c r="L13" s="6">
        <f t="shared" si="6"/>
        <v>1.6425572877803161</v>
      </c>
      <c r="M13" s="6" t="s">
        <v>23</v>
      </c>
      <c r="O13" s="6">
        <v>22.5</v>
      </c>
      <c r="P13" s="6">
        <v>22.5</v>
      </c>
      <c r="Q13" s="6">
        <v>56</v>
      </c>
      <c r="R13" s="6">
        <v>40.6</v>
      </c>
      <c r="S13" s="6">
        <v>71</v>
      </c>
      <c r="T13" s="6">
        <v>40</v>
      </c>
      <c r="U13" s="6">
        <v>0.75</v>
      </c>
      <c r="V13" s="6">
        <v>0.4</v>
      </c>
      <c r="W13" s="6">
        <f t="shared" si="7"/>
        <v>0.75459317585301833</v>
      </c>
      <c r="X13" s="6">
        <f t="shared" si="8"/>
        <v>0.42650918635170604</v>
      </c>
      <c r="Y13" s="29">
        <f t="shared" si="4"/>
        <v>-4.5931758530183275E-3</v>
      </c>
      <c r="Z13" s="29">
        <f t="shared" si="5"/>
        <v>-2.6509186351706016E-2</v>
      </c>
    </row>
    <row r="14" spans="1:29" ht="15.75" customHeight="1" x14ac:dyDescent="0.2">
      <c r="A14" s="5">
        <v>45377.666666666664</v>
      </c>
      <c r="B14" s="6">
        <v>3</v>
      </c>
      <c r="C14" s="28">
        <v>9.4846229550000007</v>
      </c>
      <c r="D14" s="6">
        <v>60</v>
      </c>
      <c r="E14" s="6">
        <v>64</v>
      </c>
      <c r="F14" s="6">
        <f t="shared" si="0"/>
        <v>10.5</v>
      </c>
      <c r="G14" s="6">
        <v>18</v>
      </c>
      <c r="H14" s="6">
        <v>20</v>
      </c>
      <c r="I14" s="6">
        <v>8.5</v>
      </c>
      <c r="J14" s="8">
        <v>0.34399999999999997</v>
      </c>
      <c r="K14" s="8">
        <v>0.4</v>
      </c>
      <c r="L14" s="6">
        <f t="shared" si="6"/>
        <v>1.3520822065981617</v>
      </c>
      <c r="M14" s="6" t="s">
        <v>23</v>
      </c>
      <c r="N14" s="6" t="s">
        <v>54</v>
      </c>
      <c r="O14" s="6">
        <v>18.05</v>
      </c>
      <c r="P14" s="6">
        <v>18.05</v>
      </c>
      <c r="Q14" s="6">
        <v>45</v>
      </c>
      <c r="R14" s="6">
        <v>40</v>
      </c>
      <c r="S14" s="6">
        <v>53</v>
      </c>
      <c r="T14" s="6">
        <v>40.299999999999997</v>
      </c>
      <c r="U14" s="6">
        <v>0.6</v>
      </c>
      <c r="V14" s="6">
        <v>0.3</v>
      </c>
      <c r="W14" s="6">
        <f t="shared" si="7"/>
        <v>0.59055118110236215</v>
      </c>
      <c r="X14" s="6">
        <f t="shared" si="8"/>
        <v>0.27887139107611547</v>
      </c>
      <c r="Y14" s="29">
        <f t="shared" si="4"/>
        <v>9.4488188976378229E-3</v>
      </c>
      <c r="Z14" s="29">
        <f t="shared" si="5"/>
        <v>2.1128608923884518E-2</v>
      </c>
    </row>
    <row r="15" spans="1:29" ht="15.75" customHeight="1" x14ac:dyDescent="0.2">
      <c r="A15" s="5">
        <v>45392.40625</v>
      </c>
      <c r="B15" s="6">
        <v>3</v>
      </c>
      <c r="C15" s="28">
        <v>9.4846229550000007</v>
      </c>
      <c r="D15" s="6">
        <v>60</v>
      </c>
      <c r="E15" s="6">
        <v>64</v>
      </c>
      <c r="F15" s="6">
        <f t="shared" si="0"/>
        <v>11</v>
      </c>
      <c r="G15" s="6">
        <v>16</v>
      </c>
      <c r="H15" s="6">
        <v>20</v>
      </c>
      <c r="I15" s="6">
        <v>7</v>
      </c>
      <c r="L15" s="6"/>
      <c r="M15" s="6" t="s">
        <v>23</v>
      </c>
      <c r="N15" s="6" t="s">
        <v>55</v>
      </c>
      <c r="O15" s="6">
        <v>15.88</v>
      </c>
      <c r="P15" s="6">
        <v>15.88</v>
      </c>
      <c r="W15" s="6">
        <f t="shared" si="7"/>
        <v>0.52493438320209973</v>
      </c>
      <c r="X15" s="6">
        <f t="shared" si="8"/>
        <v>0.22965879265091863</v>
      </c>
      <c r="Y15" s="29"/>
      <c r="Z15" s="29"/>
    </row>
    <row r="16" spans="1:29" ht="15.75" customHeight="1" x14ac:dyDescent="0.2">
      <c r="A16" s="5">
        <v>45644.69027777778</v>
      </c>
      <c r="B16" s="6">
        <v>4</v>
      </c>
      <c r="C16" s="28">
        <v>9.7804908749999999</v>
      </c>
      <c r="D16" s="6">
        <v>55</v>
      </c>
      <c r="E16" s="6">
        <v>47</v>
      </c>
      <c r="F16" s="6">
        <v>12.25</v>
      </c>
      <c r="G16" s="6">
        <v>19.5</v>
      </c>
      <c r="H16" s="6">
        <v>19</v>
      </c>
      <c r="I16" s="6">
        <v>7</v>
      </c>
      <c r="J16" s="8">
        <v>0.27100000000000002</v>
      </c>
      <c r="K16" s="8">
        <v>0.34399999999999997</v>
      </c>
      <c r="L16" s="6">
        <f t="shared" si="6"/>
        <v>1.6113070355795804</v>
      </c>
      <c r="M16" s="6" t="s">
        <v>23</v>
      </c>
      <c r="N16" s="6" t="s">
        <v>90</v>
      </c>
      <c r="O16" s="6">
        <v>40</v>
      </c>
      <c r="P16" s="6">
        <v>40</v>
      </c>
      <c r="Q16" s="6">
        <v>36</v>
      </c>
      <c r="R16" s="6">
        <v>40.799999999999997</v>
      </c>
      <c r="S16" s="6">
        <v>46</v>
      </c>
      <c r="T16" s="6">
        <v>40.799999999999997</v>
      </c>
      <c r="U16" s="6">
        <v>0.6</v>
      </c>
      <c r="V16" s="6">
        <v>0.25</v>
      </c>
      <c r="W16" s="6">
        <f t="shared" ref="W16:W26" si="9">G16/2.54/12</f>
        <v>0.63976377952755903</v>
      </c>
      <c r="X16" s="6">
        <f t="shared" ref="X16:X26" si="10">I16/2.54/12</f>
        <v>0.22965879265091863</v>
      </c>
      <c r="Y16" s="29">
        <f t="shared" si="4"/>
        <v>-3.9763779527559051E-2</v>
      </c>
      <c r="Z16" s="29">
        <f t="shared" si="5"/>
        <v>2.0341207349081375E-2</v>
      </c>
      <c r="AB16" s="3">
        <f>O16-G16</f>
        <v>20.5</v>
      </c>
      <c r="AC16" s="3">
        <f>AVERAGE(AB16:AB25)</f>
        <v>20.4375</v>
      </c>
    </row>
    <row r="17" spans="1:28" ht="15.75" customHeight="1" x14ac:dyDescent="0.2">
      <c r="A17" s="5">
        <v>45663.726388888892</v>
      </c>
      <c r="B17" s="6">
        <v>4</v>
      </c>
      <c r="C17" s="28">
        <v>1.3398169280000001</v>
      </c>
      <c r="D17" s="6">
        <v>55</v>
      </c>
      <c r="E17" s="6">
        <v>47</v>
      </c>
      <c r="F17" s="6">
        <v>11.5</v>
      </c>
      <c r="G17" s="6">
        <v>21</v>
      </c>
      <c r="H17" s="6">
        <v>22</v>
      </c>
      <c r="I17" s="6">
        <v>10.5</v>
      </c>
      <c r="J17" s="8">
        <v>0.32</v>
      </c>
      <c r="K17" s="8">
        <v>0.39200000000000002</v>
      </c>
      <c r="L17" s="6">
        <f t="shared" si="6"/>
        <v>1.5006250000000001</v>
      </c>
      <c r="M17" s="6" t="s">
        <v>23</v>
      </c>
      <c r="N17" s="6" t="s">
        <v>92</v>
      </c>
      <c r="O17" s="6">
        <v>43</v>
      </c>
      <c r="P17" s="6">
        <v>42.57</v>
      </c>
      <c r="Q17" s="6">
        <v>42</v>
      </c>
      <c r="R17" s="6">
        <v>40.1</v>
      </c>
      <c r="S17" s="6">
        <v>52</v>
      </c>
      <c r="T17" s="6">
        <v>40.4</v>
      </c>
      <c r="U17" s="6">
        <v>0.7</v>
      </c>
      <c r="V17" s="6">
        <v>0.35</v>
      </c>
      <c r="W17" s="6">
        <f t="shared" si="9"/>
        <v>0.6889763779527559</v>
      </c>
      <c r="X17" s="6">
        <f t="shared" si="10"/>
        <v>0.34448818897637795</v>
      </c>
      <c r="Y17" s="29">
        <f t="shared" si="4"/>
        <v>1.1023622047244053E-2</v>
      </c>
      <c r="Z17" s="29">
        <f t="shared" si="5"/>
        <v>5.5118110236220264E-3</v>
      </c>
      <c r="AB17" s="3">
        <f t="shared" ref="AB17:AB25" si="11">O17-G17</f>
        <v>22</v>
      </c>
    </row>
    <row r="18" spans="1:28" ht="15.75" customHeight="1" x14ac:dyDescent="0.2">
      <c r="A18" s="5">
        <v>45669.704861111109</v>
      </c>
      <c r="B18" s="6">
        <v>4</v>
      </c>
      <c r="C18" s="28"/>
      <c r="D18" s="6">
        <v>57</v>
      </c>
      <c r="E18" s="6">
        <v>52</v>
      </c>
      <c r="F18" s="6">
        <v>10.5</v>
      </c>
      <c r="G18" s="6">
        <v>15</v>
      </c>
      <c r="H18" s="6">
        <v>16</v>
      </c>
      <c r="I18" s="6">
        <v>5</v>
      </c>
      <c r="J18" s="8">
        <v>0.193</v>
      </c>
      <c r="K18" s="8">
        <v>0.22</v>
      </c>
      <c r="L18" s="6">
        <f t="shared" si="6"/>
        <v>1.2993637413084913</v>
      </c>
      <c r="M18" s="6" t="s">
        <v>23</v>
      </c>
      <c r="N18" s="6" t="s">
        <v>93</v>
      </c>
      <c r="O18" s="6">
        <v>36</v>
      </c>
      <c r="P18" s="6">
        <v>85.71</v>
      </c>
      <c r="Q18" s="6">
        <v>25</v>
      </c>
      <c r="R18" s="6">
        <v>40.4</v>
      </c>
      <c r="S18" s="6">
        <v>29</v>
      </c>
      <c r="T18" s="6">
        <v>40.9</v>
      </c>
      <c r="U18" s="6">
        <v>0.5</v>
      </c>
      <c r="V18" s="6">
        <v>0.2</v>
      </c>
      <c r="W18" s="6">
        <f t="shared" si="9"/>
        <v>0.49212598425196852</v>
      </c>
      <c r="X18" s="6">
        <f t="shared" si="10"/>
        <v>0.16404199475065617</v>
      </c>
      <c r="Y18" s="29">
        <f t="shared" si="4"/>
        <v>7.8740157480314821E-3</v>
      </c>
      <c r="Z18" s="29">
        <f t="shared" si="5"/>
        <v>3.5958005249343838E-2</v>
      </c>
      <c r="AB18" s="3">
        <f t="shared" si="11"/>
        <v>21</v>
      </c>
    </row>
    <row r="19" spans="1:28" ht="15.75" customHeight="1" x14ac:dyDescent="0.2">
      <c r="A19" s="5">
        <v>45670.713888888888</v>
      </c>
      <c r="B19" s="6">
        <v>4</v>
      </c>
      <c r="C19" s="28"/>
      <c r="F19" s="6"/>
      <c r="L19" s="6"/>
      <c r="M19" s="6" t="s">
        <v>23</v>
      </c>
      <c r="N19" s="6" t="s">
        <v>94</v>
      </c>
      <c r="O19" s="6">
        <v>36</v>
      </c>
      <c r="P19" s="6">
        <v>36.49</v>
      </c>
      <c r="W19" s="6"/>
      <c r="X19" s="6"/>
      <c r="Y19" s="29"/>
      <c r="Z19" s="29"/>
    </row>
    <row r="20" spans="1:28" ht="15.75" customHeight="1" x14ac:dyDescent="0.2">
      <c r="A20" s="5">
        <v>45673.715277777781</v>
      </c>
      <c r="B20" s="6">
        <v>4</v>
      </c>
      <c r="C20" s="28">
        <v>1.9260254000000001E-2</v>
      </c>
      <c r="D20" s="6">
        <v>57</v>
      </c>
      <c r="E20" s="6">
        <v>52</v>
      </c>
      <c r="F20" s="6">
        <v>11</v>
      </c>
      <c r="G20" s="6">
        <v>15</v>
      </c>
      <c r="H20" s="6">
        <v>15</v>
      </c>
      <c r="I20" s="6">
        <v>4</v>
      </c>
      <c r="L20" s="6"/>
      <c r="M20" s="6" t="s">
        <v>23</v>
      </c>
      <c r="N20" s="6" t="s">
        <v>100</v>
      </c>
      <c r="O20" s="6">
        <v>35</v>
      </c>
      <c r="P20" s="6">
        <v>51.25</v>
      </c>
      <c r="W20" s="6">
        <f t="shared" si="9"/>
        <v>0.49212598425196852</v>
      </c>
      <c r="X20" s="6">
        <f t="shared" si="10"/>
        <v>0.13123359580052493</v>
      </c>
      <c r="Y20" s="29"/>
      <c r="Z20" s="29"/>
      <c r="AB20" s="3">
        <f t="shared" si="11"/>
        <v>20</v>
      </c>
    </row>
    <row r="21" spans="1:28" ht="15.75" customHeight="1" x14ac:dyDescent="0.2">
      <c r="A21" s="5">
        <v>45676.573611111111</v>
      </c>
      <c r="B21" s="6">
        <v>4</v>
      </c>
      <c r="C21" s="28">
        <v>2.526462317</v>
      </c>
      <c r="D21" s="6">
        <v>57</v>
      </c>
      <c r="E21" s="6">
        <v>51</v>
      </c>
      <c r="F21" s="6">
        <v>11</v>
      </c>
      <c r="G21" s="6">
        <v>24</v>
      </c>
      <c r="H21" s="6">
        <v>24</v>
      </c>
      <c r="I21" s="6">
        <v>13</v>
      </c>
      <c r="J21" s="8">
        <v>0.307</v>
      </c>
      <c r="K21" s="8">
        <v>0.36799999999999999</v>
      </c>
      <c r="L21" s="6">
        <f t="shared" si="6"/>
        <v>1.4368746618001251</v>
      </c>
      <c r="M21" s="6" t="s">
        <v>23</v>
      </c>
      <c r="N21" s="6" t="s">
        <v>95</v>
      </c>
      <c r="O21" s="6">
        <v>44</v>
      </c>
      <c r="P21" s="6">
        <v>44.45</v>
      </c>
      <c r="Q21" s="6">
        <v>41</v>
      </c>
      <c r="R21" s="6">
        <v>40.9</v>
      </c>
      <c r="S21" s="6">
        <v>49</v>
      </c>
      <c r="T21" s="6">
        <v>40.6</v>
      </c>
      <c r="U21" s="6">
        <v>0.75</v>
      </c>
      <c r="V21" s="6">
        <v>0.45</v>
      </c>
      <c r="W21" s="6">
        <f t="shared" si="9"/>
        <v>0.78740157480314954</v>
      </c>
      <c r="X21" s="6">
        <f t="shared" si="10"/>
        <v>0.42650918635170604</v>
      </c>
      <c r="Y21" s="29">
        <f t="shared" si="4"/>
        <v>-3.740157480314954E-2</v>
      </c>
      <c r="Z21" s="29">
        <f t="shared" si="5"/>
        <v>2.3490813648293973E-2</v>
      </c>
      <c r="AB21" s="3">
        <f t="shared" si="11"/>
        <v>20</v>
      </c>
    </row>
    <row r="22" spans="1:28" ht="15.75" customHeight="1" x14ac:dyDescent="0.2">
      <c r="A22" s="5">
        <v>45676.604166666664</v>
      </c>
      <c r="B22" s="6">
        <v>4</v>
      </c>
      <c r="C22" s="28">
        <v>2.6333043580000002</v>
      </c>
      <c r="D22" s="6">
        <v>57</v>
      </c>
      <c r="E22" s="6">
        <v>51</v>
      </c>
      <c r="F22" s="6">
        <v>11</v>
      </c>
      <c r="G22" s="6">
        <v>26</v>
      </c>
      <c r="H22" s="6">
        <v>26</v>
      </c>
      <c r="I22" s="6">
        <v>15</v>
      </c>
      <c r="J22" s="8">
        <v>0.33800000000000002</v>
      </c>
      <c r="K22" s="8">
        <v>0.39100000000000001</v>
      </c>
      <c r="L22" s="6">
        <f t="shared" si="6"/>
        <v>1.3381971919750708</v>
      </c>
      <c r="M22" s="6" t="s">
        <v>23</v>
      </c>
      <c r="N22" s="6" t="s">
        <v>95</v>
      </c>
      <c r="O22" s="6">
        <v>46</v>
      </c>
      <c r="P22" s="6">
        <v>46.54</v>
      </c>
      <c r="Q22" s="6">
        <v>45</v>
      </c>
      <c r="R22" s="6">
        <v>40.700000000000003</v>
      </c>
      <c r="S22" s="6">
        <v>52</v>
      </c>
      <c r="T22" s="6">
        <v>40.5</v>
      </c>
      <c r="U22" s="6">
        <v>0.82</v>
      </c>
      <c r="V22" s="6">
        <v>0.5</v>
      </c>
      <c r="W22" s="6">
        <f t="shared" si="9"/>
        <v>0.85301837270341208</v>
      </c>
      <c r="X22" s="6">
        <f t="shared" si="10"/>
        <v>0.49212598425196852</v>
      </c>
      <c r="Y22" s="29">
        <f t="shared" si="4"/>
        <v>-3.3018372703412124E-2</v>
      </c>
      <c r="Z22" s="29">
        <f t="shared" si="5"/>
        <v>7.8740157480314821E-3</v>
      </c>
      <c r="AB22" s="3">
        <f t="shared" si="11"/>
        <v>20</v>
      </c>
    </row>
    <row r="23" spans="1:28" ht="15.75" customHeight="1" x14ac:dyDescent="0.2">
      <c r="A23" s="5">
        <v>45689.788194444445</v>
      </c>
      <c r="B23" s="6">
        <v>4</v>
      </c>
      <c r="C23" s="28">
        <v>5.8701820370000002</v>
      </c>
      <c r="D23" s="6"/>
      <c r="E23" s="6"/>
      <c r="F23" s="6"/>
      <c r="G23" s="6"/>
      <c r="H23" s="6"/>
      <c r="I23" s="6"/>
      <c r="J23" s="8"/>
      <c r="K23" s="8"/>
      <c r="L23" s="6"/>
      <c r="M23" s="6" t="s">
        <v>26</v>
      </c>
      <c r="N23" s="6" t="s">
        <v>96</v>
      </c>
      <c r="W23" s="6"/>
      <c r="X23" s="6"/>
      <c r="Y23" s="29"/>
      <c r="Z23" s="29"/>
    </row>
    <row r="24" spans="1:28" ht="15.75" customHeight="1" x14ac:dyDescent="0.2">
      <c r="A24" s="5">
        <v>45689.788194444445</v>
      </c>
      <c r="B24" s="6">
        <v>5</v>
      </c>
      <c r="C24" s="28">
        <v>5.8701820370000002</v>
      </c>
      <c r="D24" s="6">
        <v>42</v>
      </c>
      <c r="E24" s="6">
        <v>52</v>
      </c>
      <c r="F24" s="6">
        <v>13</v>
      </c>
      <c r="G24" s="6">
        <v>47</v>
      </c>
      <c r="H24" s="6">
        <v>47</v>
      </c>
      <c r="I24" s="6">
        <v>34</v>
      </c>
      <c r="J24" s="8">
        <v>0.56000000000000005</v>
      </c>
      <c r="K24" s="8">
        <v>0.66300000000000003</v>
      </c>
      <c r="L24" s="6">
        <f t="shared" si="6"/>
        <v>1.4016868622448979</v>
      </c>
      <c r="M24" s="6" t="s">
        <v>23</v>
      </c>
      <c r="N24" s="6" t="s">
        <v>97</v>
      </c>
      <c r="O24" s="6">
        <v>65</v>
      </c>
      <c r="P24" s="6">
        <v>65.02</v>
      </c>
      <c r="Q24" s="3">
        <v>75</v>
      </c>
      <c r="R24" s="6">
        <v>40.5</v>
      </c>
      <c r="S24" s="6">
        <v>89</v>
      </c>
      <c r="T24" s="6">
        <v>40.5</v>
      </c>
      <c r="U24" s="6">
        <v>1.5</v>
      </c>
      <c r="V24" s="6">
        <v>1.1499999999999999</v>
      </c>
      <c r="W24" s="6">
        <f t="shared" si="9"/>
        <v>1.541994750656168</v>
      </c>
      <c r="X24" s="6">
        <f t="shared" si="10"/>
        <v>1.1154855643044619</v>
      </c>
      <c r="Y24" s="29">
        <f t="shared" si="4"/>
        <v>-4.1994750656167978E-2</v>
      </c>
      <c r="Z24" s="29">
        <f t="shared" si="5"/>
        <v>3.4514435695538026E-2</v>
      </c>
      <c r="AB24" s="3">
        <f t="shared" si="11"/>
        <v>18</v>
      </c>
    </row>
    <row r="25" spans="1:28" ht="15.75" customHeight="1" x14ac:dyDescent="0.2">
      <c r="A25" s="5">
        <v>45694.588194444441</v>
      </c>
      <c r="B25" s="6">
        <v>5</v>
      </c>
      <c r="C25" s="28">
        <v>5.9724464419999999</v>
      </c>
      <c r="D25" s="6">
        <v>50</v>
      </c>
      <c r="E25" s="6">
        <v>60</v>
      </c>
      <c r="F25" s="6">
        <v>9.5</v>
      </c>
      <c r="G25" s="6">
        <v>38</v>
      </c>
      <c r="H25" s="6">
        <v>41</v>
      </c>
      <c r="I25" s="6">
        <v>30</v>
      </c>
      <c r="L25" s="6"/>
      <c r="M25" s="6" t="s">
        <v>91</v>
      </c>
      <c r="N25" s="6" t="s">
        <v>98</v>
      </c>
      <c r="O25" s="6">
        <v>60</v>
      </c>
      <c r="P25" s="6">
        <v>62</v>
      </c>
      <c r="W25" s="6">
        <f t="shared" si="9"/>
        <v>1.246719160104987</v>
      </c>
      <c r="X25" s="6">
        <f t="shared" si="10"/>
        <v>0.98425196850393704</v>
      </c>
      <c r="Y25" s="29"/>
      <c r="Z25" s="29"/>
      <c r="AB25" s="3">
        <f t="shared" si="11"/>
        <v>22</v>
      </c>
    </row>
    <row r="26" spans="1:28" ht="15.75" customHeight="1" x14ac:dyDescent="0.2">
      <c r="A26" s="5">
        <v>45694.624305555553</v>
      </c>
      <c r="B26" s="6">
        <v>6</v>
      </c>
      <c r="C26" s="28">
        <v>6.6849708559999996</v>
      </c>
      <c r="D26" s="6">
        <v>49</v>
      </c>
      <c r="E26" s="6">
        <v>54</v>
      </c>
      <c r="F26" s="6">
        <v>13</v>
      </c>
      <c r="G26" s="6">
        <v>40</v>
      </c>
      <c r="H26" s="6">
        <v>42</v>
      </c>
      <c r="I26" s="6">
        <v>28</v>
      </c>
      <c r="J26" s="8">
        <v>0.44700000000000001</v>
      </c>
      <c r="K26" s="8">
        <v>0.55800000000000005</v>
      </c>
      <c r="L26" s="6">
        <f t="shared" si="6"/>
        <v>1.558308184316022</v>
      </c>
      <c r="M26" s="6" t="s">
        <v>23</v>
      </c>
      <c r="N26" s="6" t="s">
        <v>99</v>
      </c>
      <c r="Q26" s="3">
        <v>59</v>
      </c>
      <c r="R26" s="6">
        <v>40.1</v>
      </c>
      <c r="S26" s="6">
        <v>74</v>
      </c>
      <c r="T26" s="6">
        <v>40.1</v>
      </c>
      <c r="U26" s="6">
        <v>1.3</v>
      </c>
      <c r="V26" s="6">
        <v>0.95</v>
      </c>
      <c r="W26" s="6">
        <f t="shared" si="9"/>
        <v>1.3123359580052494</v>
      </c>
      <c r="X26" s="6">
        <f t="shared" si="10"/>
        <v>0.9186351706036745</v>
      </c>
      <c r="Y26" s="29">
        <f t="shared" si="4"/>
        <v>-1.2335958005249337E-2</v>
      </c>
      <c r="Z26" s="29">
        <f t="shared" si="5"/>
        <v>3.1364829396325455E-2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BD98-C47D-794B-AE16-23331041E0C9}">
  <dimension ref="A1:M26"/>
  <sheetViews>
    <sheetView workbookViewId="0">
      <selection activeCell="B32" sqref="B32"/>
    </sheetView>
  </sheetViews>
  <sheetFormatPr baseColWidth="10" defaultRowHeight="14" x14ac:dyDescent="0.2"/>
  <cols>
    <col min="1" max="1" width="3.3984375" bestFit="1" customWidth="1"/>
    <col min="2" max="2" width="14.3984375" bestFit="1" customWidth="1"/>
    <col min="3" max="3" width="6.3984375" bestFit="1" customWidth="1"/>
    <col min="4" max="4" width="28.3984375" bestFit="1" customWidth="1"/>
    <col min="5" max="5" width="26.3984375" bestFit="1" customWidth="1"/>
    <col min="6" max="6" width="24" bestFit="1" customWidth="1"/>
    <col min="7" max="7" width="15" bestFit="1" customWidth="1"/>
    <col min="8" max="8" width="23" bestFit="1" customWidth="1"/>
    <col min="9" max="13" width="12.3984375" bestFit="1" customWidth="1"/>
  </cols>
  <sheetData>
    <row r="1" spans="1:13" x14ac:dyDescent="0.2">
      <c r="B1" t="s">
        <v>111</v>
      </c>
      <c r="C1" t="s">
        <v>105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</row>
    <row r="2" spans="1:13" x14ac:dyDescent="0.2">
      <c r="A2">
        <v>0</v>
      </c>
      <c r="B2" s="30">
        <v>45330.697916666664</v>
      </c>
      <c r="C2">
        <v>2681</v>
      </c>
      <c r="D2">
        <v>1.7699999809265099</v>
      </c>
      <c r="E2">
        <v>96.58</v>
      </c>
      <c r="F2">
        <v>3.2708470821380602</v>
      </c>
      <c r="G2">
        <v>0.21282140458844001</v>
      </c>
      <c r="H2">
        <v>94.810000019073499</v>
      </c>
      <c r="I2">
        <v>0.17482219700537399</v>
      </c>
      <c r="J2">
        <v>4.6304964717083701</v>
      </c>
      <c r="K2">
        <v>5.63697734001419</v>
      </c>
      <c r="L2">
        <v>1.8516992770868899E-2</v>
      </c>
      <c r="M2">
        <v>2.2541830944552001E-2</v>
      </c>
    </row>
    <row r="3" spans="1:13" x14ac:dyDescent="0.2">
      <c r="A3">
        <v>1</v>
      </c>
      <c r="B3" s="30">
        <v>45333.502083333333</v>
      </c>
      <c r="C3">
        <v>2681</v>
      </c>
      <c r="D3">
        <v>1.7699999809265099</v>
      </c>
      <c r="E3">
        <v>96.58</v>
      </c>
      <c r="F3">
        <v>3.2708470821380602</v>
      </c>
      <c r="G3">
        <v>0.21282140458844001</v>
      </c>
      <c r="H3">
        <v>94.810000019073499</v>
      </c>
      <c r="I3">
        <v>0.17482219700537399</v>
      </c>
      <c r="J3">
        <v>4.6304964717083701</v>
      </c>
      <c r="K3">
        <v>5.63697734001419</v>
      </c>
      <c r="L3">
        <v>1.8516992770868899E-2</v>
      </c>
      <c r="M3">
        <v>2.2541830944552001E-2</v>
      </c>
    </row>
    <row r="4" spans="1:13" x14ac:dyDescent="0.2">
      <c r="A4">
        <v>2</v>
      </c>
      <c r="B4" s="30">
        <v>45335.65347222222</v>
      </c>
      <c r="C4">
        <v>2681</v>
      </c>
      <c r="D4">
        <v>1.7699999809265099</v>
      </c>
      <c r="E4">
        <v>96.58</v>
      </c>
      <c r="F4">
        <v>3.2708470821380602</v>
      </c>
      <c r="G4">
        <v>0.21282140458844001</v>
      </c>
      <c r="H4">
        <v>94.810000019073499</v>
      </c>
      <c r="I4">
        <v>0.17482219700537399</v>
      </c>
      <c r="J4">
        <v>4.6304964717083701</v>
      </c>
      <c r="K4">
        <v>5.63697734001419</v>
      </c>
      <c r="L4">
        <v>1.8516992770868899E-2</v>
      </c>
      <c r="M4">
        <v>2.2541830944552001E-2</v>
      </c>
    </row>
    <row r="5" spans="1:13" x14ac:dyDescent="0.2">
      <c r="A5">
        <v>3</v>
      </c>
      <c r="B5" s="30">
        <v>45340.48333333333</v>
      </c>
      <c r="C5">
        <v>2832</v>
      </c>
      <c r="D5">
        <v>1.6799999475479099</v>
      </c>
      <c r="E5">
        <v>96.46</v>
      </c>
      <c r="F5">
        <v>4.1121864318847701</v>
      </c>
      <c r="G5">
        <v>0.198758219711798</v>
      </c>
      <c r="H5">
        <v>94.780000052452095</v>
      </c>
      <c r="I5">
        <v>0.161296660640012</v>
      </c>
      <c r="J5">
        <v>4.2722641107159998</v>
      </c>
      <c r="K5">
        <v>5.2645083005139099</v>
      </c>
      <c r="L5">
        <v>1.7084496142450101E-2</v>
      </c>
      <c r="M5">
        <v>2.1052413760289101E-2</v>
      </c>
    </row>
    <row r="6" spans="1:13" x14ac:dyDescent="0.2">
      <c r="A6">
        <v>4</v>
      </c>
      <c r="B6" s="30">
        <v>45344.365972222222</v>
      </c>
      <c r="D6">
        <v>1.3638663291931199</v>
      </c>
      <c r="E6">
        <v>96.072870773212003</v>
      </c>
      <c r="F6">
        <v>4.6332740783691397</v>
      </c>
      <c r="G6">
        <v>0.16908222582090501</v>
      </c>
      <c r="H6">
        <v>94.709004444018902</v>
      </c>
      <c r="I6">
        <v>0.13283371359573401</v>
      </c>
      <c r="J6">
        <v>3.51835489676419</v>
      </c>
      <c r="K6">
        <v>4.4784660540565699</v>
      </c>
      <c r="L6">
        <v>1.4069633368461801E-2</v>
      </c>
      <c r="M6">
        <v>1.79090447901172E-2</v>
      </c>
    </row>
    <row r="7" spans="1:13" x14ac:dyDescent="0.2">
      <c r="A7">
        <v>5</v>
      </c>
      <c r="B7" s="30">
        <v>45348.727083333331</v>
      </c>
      <c r="D7">
        <v>1.1877849102020299</v>
      </c>
      <c r="E7">
        <v>96.008796164019401</v>
      </c>
      <c r="F7">
        <v>9.1880836486816406</v>
      </c>
      <c r="G7">
        <v>0.15118443116108601</v>
      </c>
      <c r="H7">
        <v>94.821011253817403</v>
      </c>
      <c r="I7">
        <v>0.121936883720346</v>
      </c>
      <c r="J7">
        <v>3.2290801125714399</v>
      </c>
      <c r="K7">
        <v>4.0036010852328303</v>
      </c>
      <c r="L7">
        <v>1.2911068030414001E-2</v>
      </c>
      <c r="M7">
        <v>1.6007892085686599E-2</v>
      </c>
    </row>
    <row r="8" spans="1:13" x14ac:dyDescent="0.2">
      <c r="A8">
        <v>6</v>
      </c>
      <c r="B8" s="30">
        <v>45350.48541666667</v>
      </c>
      <c r="D8">
        <v>1.21022653579712</v>
      </c>
      <c r="E8">
        <v>95.185221991150001</v>
      </c>
      <c r="F8">
        <v>10.075626373291</v>
      </c>
      <c r="G8">
        <v>0.15344578166007999</v>
      </c>
      <c r="H8">
        <v>93.974995455352897</v>
      </c>
      <c r="I8">
        <v>0.117879919986419</v>
      </c>
      <c r="J8">
        <v>3.1214156520780199</v>
      </c>
      <c r="K8">
        <v>4.0631862040142197</v>
      </c>
      <c r="L8">
        <v>1.24799587196468E-2</v>
      </c>
      <c r="M8">
        <v>1.6245319992093301E-2</v>
      </c>
    </row>
    <row r="9" spans="1:13" x14ac:dyDescent="0.2">
      <c r="A9">
        <v>7</v>
      </c>
      <c r="B9" s="30">
        <v>45351.661805555559</v>
      </c>
      <c r="D9">
        <v>2.1725821495056201</v>
      </c>
      <c r="E9">
        <v>98.2395843005974</v>
      </c>
      <c r="F9">
        <v>7.4926490783691397</v>
      </c>
      <c r="G9">
        <v>0.25159103892794199</v>
      </c>
      <c r="H9">
        <v>96.067002151091799</v>
      </c>
      <c r="I9">
        <v>0.20163607344963499</v>
      </c>
      <c r="J9">
        <v>5.3402289316902296</v>
      </c>
      <c r="K9">
        <v>6.6632608047319204</v>
      </c>
      <c r="L9">
        <v>2.1353837013076499E-2</v>
      </c>
      <c r="M9">
        <v>2.6644210766977601E-2</v>
      </c>
    </row>
    <row r="10" spans="1:13" x14ac:dyDescent="0.2">
      <c r="A10">
        <v>8</v>
      </c>
      <c r="B10" s="30">
        <v>45353.611111111109</v>
      </c>
      <c r="D10">
        <v>2.0063505172729501</v>
      </c>
      <c r="E10">
        <v>97.164345290046199</v>
      </c>
      <c r="F10">
        <v>10.468143463134799</v>
      </c>
      <c r="G10">
        <v>0.23469607758086999</v>
      </c>
      <c r="H10">
        <v>95.157994772773193</v>
      </c>
      <c r="I10">
        <v>0.195907363429003</v>
      </c>
      <c r="J10">
        <v>5.1873664911598496</v>
      </c>
      <c r="K10">
        <v>6.21444006565308</v>
      </c>
      <c r="L10">
        <v>2.0739478652564002E-2</v>
      </c>
      <c r="M10">
        <v>2.48457955108611E-2</v>
      </c>
    </row>
    <row r="11" spans="1:13" x14ac:dyDescent="0.2">
      <c r="A11">
        <v>9</v>
      </c>
      <c r="B11" s="30">
        <v>45359.576388888891</v>
      </c>
      <c r="D11">
        <v>1.8924194574356099</v>
      </c>
      <c r="E11">
        <v>97.264417320648406</v>
      </c>
      <c r="F11">
        <v>10.2720375061035</v>
      </c>
      <c r="G11">
        <v>0.22308557618740499</v>
      </c>
      <c r="H11">
        <v>95.371997863212798</v>
      </c>
      <c r="I11">
        <v>0.184708861865124</v>
      </c>
      <c r="J11">
        <v>4.8909340801971597</v>
      </c>
      <c r="K11">
        <v>5.9071169426192496</v>
      </c>
      <c r="L11">
        <v>1.95545625546103E-2</v>
      </c>
      <c r="M11">
        <v>2.3617387983113001E-2</v>
      </c>
    </row>
    <row r="12" spans="1:13" x14ac:dyDescent="0.2">
      <c r="A12">
        <v>10</v>
      </c>
      <c r="B12" s="30">
        <v>45363.53125</v>
      </c>
      <c r="D12">
        <v>1.91354608535767</v>
      </c>
      <c r="E12">
        <v>97.104545062546904</v>
      </c>
      <c r="F12">
        <v>9.4846229553222692</v>
      </c>
      <c r="G12">
        <v>0.225180786638876</v>
      </c>
      <c r="H12">
        <v>95.190998977189295</v>
      </c>
      <c r="I12">
        <v>0.18672854781534201</v>
      </c>
      <c r="J12">
        <v>4.9447494014067201</v>
      </c>
      <c r="K12">
        <v>5.9630012280821196</v>
      </c>
      <c r="L12">
        <v>1.9770638839713799E-2</v>
      </c>
      <c r="M12">
        <v>2.3841924860265401E-2</v>
      </c>
    </row>
    <row r="13" spans="1:13" x14ac:dyDescent="0.2">
      <c r="A13">
        <v>11</v>
      </c>
      <c r="B13" s="30">
        <v>45363.538194444445</v>
      </c>
      <c r="D13">
        <v>1.91354608535767</v>
      </c>
      <c r="E13">
        <v>97.104545062546904</v>
      </c>
      <c r="F13">
        <v>9.4846229553222692</v>
      </c>
      <c r="G13">
        <v>0.225180786638876</v>
      </c>
      <c r="H13">
        <v>95.190998977189295</v>
      </c>
      <c r="I13">
        <v>0.18672854781534201</v>
      </c>
      <c r="J13">
        <v>4.9447494014067201</v>
      </c>
      <c r="K13">
        <v>5.9630012280821196</v>
      </c>
      <c r="L13">
        <v>1.9770638839713799E-2</v>
      </c>
      <c r="M13">
        <v>2.3841924860265401E-2</v>
      </c>
    </row>
    <row r="14" spans="1:13" x14ac:dyDescent="0.2">
      <c r="A14">
        <v>12</v>
      </c>
      <c r="B14" s="30">
        <v>45377.666666666664</v>
      </c>
      <c r="D14">
        <v>1.91354608535767</v>
      </c>
      <c r="E14">
        <v>97.104545062546904</v>
      </c>
      <c r="F14">
        <v>9.4846229553222692</v>
      </c>
      <c r="G14">
        <v>0.225180786638876</v>
      </c>
      <c r="H14">
        <v>95.190998977189295</v>
      </c>
      <c r="I14">
        <v>0.18672854781534201</v>
      </c>
      <c r="J14">
        <v>4.9447494014067201</v>
      </c>
      <c r="K14">
        <v>5.9630012280821196</v>
      </c>
      <c r="L14">
        <v>1.9770638839713799E-2</v>
      </c>
      <c r="M14">
        <v>2.3841924860265401E-2</v>
      </c>
    </row>
    <row r="15" spans="1:13" x14ac:dyDescent="0.2">
      <c r="A15">
        <v>13</v>
      </c>
      <c r="B15" s="30">
        <v>45392.40625</v>
      </c>
      <c r="D15">
        <v>1.91354608535767</v>
      </c>
      <c r="E15">
        <v>97.104545062546904</v>
      </c>
      <c r="F15">
        <v>9.4846229553222692</v>
      </c>
      <c r="G15">
        <v>0.225180786638876</v>
      </c>
      <c r="H15">
        <v>95.190998977189295</v>
      </c>
      <c r="I15">
        <v>0.18672854781534201</v>
      </c>
      <c r="J15">
        <v>4.9447494014067201</v>
      </c>
      <c r="K15">
        <v>5.9630012280821196</v>
      </c>
      <c r="L15">
        <v>1.9770638839713799E-2</v>
      </c>
      <c r="M15">
        <v>2.3841924860265401E-2</v>
      </c>
    </row>
    <row r="16" spans="1:13" x14ac:dyDescent="0.2">
      <c r="A16">
        <v>0</v>
      </c>
      <c r="B16" s="30">
        <v>45644.69027777778</v>
      </c>
      <c r="C16">
        <v>2</v>
      </c>
      <c r="D16">
        <v>-0.276421248912811</v>
      </c>
      <c r="E16">
        <v>94.788584586395004</v>
      </c>
      <c r="F16">
        <v>9.7804908752441406</v>
      </c>
      <c r="G16">
        <v>0.193719734917912</v>
      </c>
      <c r="H16">
        <v>95.065005835307801</v>
      </c>
      <c r="I16">
        <v>0.14514905852479501</v>
      </c>
      <c r="J16">
        <v>3.8435907054385399</v>
      </c>
      <c r="K16">
        <v>5.1297568179769497</v>
      </c>
      <c r="L16">
        <v>1.5367608220801399E-2</v>
      </c>
      <c r="M16">
        <v>2.0510012404575301E-2</v>
      </c>
    </row>
    <row r="17" spans="1:13" x14ac:dyDescent="0.2">
      <c r="A17">
        <v>1</v>
      </c>
      <c r="B17" s="30">
        <v>45663.726388888892</v>
      </c>
      <c r="C17">
        <v>5485</v>
      </c>
      <c r="D17">
        <v>-2.89315520785748E-3</v>
      </c>
      <c r="E17">
        <v>93.834104390148596</v>
      </c>
      <c r="F17">
        <v>1.33981692790985</v>
      </c>
      <c r="G17">
        <v>0.22164374769683301</v>
      </c>
      <c r="H17">
        <v>93.836997545356397</v>
      </c>
      <c r="I17">
        <v>0.17092043224613801</v>
      </c>
      <c r="J17">
        <v>4.52690915380773</v>
      </c>
      <c r="K17">
        <v>5.8703403516329402</v>
      </c>
      <c r="L17">
        <v>1.81020955082913E-2</v>
      </c>
      <c r="M17">
        <v>2.34741758893156E-2</v>
      </c>
    </row>
    <row r="18" spans="1:13" x14ac:dyDescent="0.2">
      <c r="A18">
        <v>2</v>
      </c>
      <c r="B18" s="30">
        <v>45669.704861111109</v>
      </c>
      <c r="C18">
        <v>7206</v>
      </c>
      <c r="D18">
        <v>3.8114559650421098</v>
      </c>
      <c r="E18">
        <v>98.723456137558998</v>
      </c>
      <c r="H18">
        <v>94.912000172516898</v>
      </c>
    </row>
    <row r="19" spans="1:13" x14ac:dyDescent="0.2">
      <c r="A19">
        <v>3</v>
      </c>
      <c r="B19" s="30">
        <v>45670.713888888888</v>
      </c>
      <c r="C19">
        <v>7497</v>
      </c>
      <c r="D19">
        <v>-0.60616862773895197</v>
      </c>
      <c r="E19">
        <v>94.439836007309694</v>
      </c>
      <c r="H19">
        <v>95.046004635048604</v>
      </c>
    </row>
    <row r="20" spans="1:13" x14ac:dyDescent="0.2">
      <c r="A20">
        <v>4</v>
      </c>
      <c r="B20" s="30">
        <v>45673.715277777781</v>
      </c>
      <c r="C20">
        <v>8361</v>
      </c>
      <c r="D20">
        <v>0.807880759239196</v>
      </c>
      <c r="E20">
        <v>95.1218848372975</v>
      </c>
      <c r="F20">
        <v>1.9260253757238301E-2</v>
      </c>
      <c r="G20">
        <v>0.30433790995729498</v>
      </c>
      <c r="H20">
        <v>94.314004078058304</v>
      </c>
      <c r="I20">
        <v>0.23848082942919999</v>
      </c>
      <c r="J20">
        <v>6.3158135163412998</v>
      </c>
      <c r="K20">
        <v>8.0599412952561202</v>
      </c>
      <c r="L20">
        <v>2.5254254387223E-2</v>
      </c>
      <c r="M20">
        <v>3.2228280219140398E-2</v>
      </c>
    </row>
    <row r="21" spans="1:13" x14ac:dyDescent="0.2">
      <c r="A21">
        <v>5</v>
      </c>
      <c r="B21" s="30">
        <v>45676.573611111111</v>
      </c>
      <c r="C21">
        <v>9185</v>
      </c>
      <c r="D21">
        <v>0.19196742773056</v>
      </c>
      <c r="E21">
        <v>94.072974564521004</v>
      </c>
      <c r="F21">
        <v>2.5264623165130602</v>
      </c>
      <c r="G21">
        <v>0.24147208139611401</v>
      </c>
      <c r="H21">
        <v>93.881007136790501</v>
      </c>
      <c r="I21">
        <v>0.18928175834804001</v>
      </c>
      <c r="J21">
        <v>5.0134193300797003</v>
      </c>
      <c r="K21">
        <v>6.3957605376841098</v>
      </c>
      <c r="L21">
        <v>2.0048091235045501E-2</v>
      </c>
      <c r="M21">
        <v>2.5575915824092001E-2</v>
      </c>
    </row>
    <row r="22" spans="1:13" x14ac:dyDescent="0.2">
      <c r="A22">
        <v>6</v>
      </c>
      <c r="B22" s="30">
        <v>45676.604166666664</v>
      </c>
      <c r="C22">
        <v>9193</v>
      </c>
      <c r="D22">
        <v>0.37693867087364102</v>
      </c>
      <c r="E22">
        <v>94.334946300022196</v>
      </c>
      <c r="F22">
        <v>2.6333043575286799</v>
      </c>
      <c r="G22">
        <v>0.260386276202353</v>
      </c>
      <c r="H22">
        <v>93.958007629148497</v>
      </c>
      <c r="I22">
        <v>0.20704149806709099</v>
      </c>
      <c r="J22">
        <v>5.4838268819391498</v>
      </c>
      <c r="K22">
        <v>6.8967490790845298</v>
      </c>
      <c r="L22">
        <v>2.1929234018767899E-2</v>
      </c>
      <c r="M22">
        <v>2.7579357952030498E-2</v>
      </c>
    </row>
    <row r="23" spans="1:13" x14ac:dyDescent="0.2">
      <c r="A23">
        <v>7</v>
      </c>
      <c r="B23" s="30">
        <v>45689.788194444445</v>
      </c>
      <c r="C23">
        <v>12990</v>
      </c>
      <c r="D23">
        <v>2.47319412231445</v>
      </c>
      <c r="E23">
        <v>98.2191943458823</v>
      </c>
      <c r="F23">
        <v>5.8701820373535103</v>
      </c>
      <c r="G23">
        <v>0.47415428801104498</v>
      </c>
      <c r="H23">
        <v>95.746000223567805</v>
      </c>
      <c r="I23">
        <v>0.39021258783395402</v>
      </c>
      <c r="J23">
        <v>10.335273671104099</v>
      </c>
      <c r="K23">
        <v>12.558575714135999</v>
      </c>
      <c r="L23">
        <v>4.1329282407555297E-2</v>
      </c>
      <c r="M23">
        <v>5.0219949547861902E-2</v>
      </c>
    </row>
    <row r="24" spans="1:13" x14ac:dyDescent="0.2">
      <c r="A24">
        <v>8</v>
      </c>
      <c r="B24" s="30">
        <v>45689.788194444445</v>
      </c>
      <c r="C24">
        <v>12990</v>
      </c>
      <c r="D24">
        <v>2.47319412231445</v>
      </c>
      <c r="E24">
        <v>98.2191943458823</v>
      </c>
      <c r="F24">
        <v>5.8701820373535103</v>
      </c>
      <c r="G24">
        <v>0.47415428801104498</v>
      </c>
      <c r="H24">
        <v>95.746000223567805</v>
      </c>
      <c r="I24">
        <v>0.39021258783395402</v>
      </c>
      <c r="J24">
        <v>10.335273671104099</v>
      </c>
      <c r="K24">
        <v>12.558575714135999</v>
      </c>
      <c r="L24">
        <v>4.1329282407555297E-2</v>
      </c>
      <c r="M24">
        <v>5.0219949547861902E-2</v>
      </c>
    </row>
    <row r="25" spans="1:13" x14ac:dyDescent="0.2">
      <c r="A25">
        <v>9</v>
      </c>
      <c r="B25" s="30">
        <v>45694.588194444441</v>
      </c>
      <c r="C25">
        <v>14373</v>
      </c>
      <c r="D25">
        <v>1.8917158842086701</v>
      </c>
      <c r="E25">
        <v>96.602720531086405</v>
      </c>
      <c r="F25">
        <v>5.9724464416503897</v>
      </c>
      <c r="G25">
        <v>0.41487746664779901</v>
      </c>
      <c r="H25">
        <v>94.711004646877697</v>
      </c>
      <c r="I25">
        <v>0.33534215943251799</v>
      </c>
      <c r="J25">
        <v>8.88193377669044</v>
      </c>
      <c r="K25">
        <v>10.988520472470899</v>
      </c>
      <c r="L25">
        <v>3.5517509529939997E-2</v>
      </c>
      <c r="M25">
        <v>4.39414310457013E-2</v>
      </c>
    </row>
    <row r="26" spans="1:13" x14ac:dyDescent="0.2">
      <c r="A26">
        <v>10</v>
      </c>
      <c r="B26" s="30">
        <v>45694.624305555553</v>
      </c>
      <c r="C26">
        <v>14383</v>
      </c>
      <c r="D26">
        <v>1.93977510929107</v>
      </c>
      <c r="E26">
        <v>96.612781503655697</v>
      </c>
      <c r="F26">
        <v>6.6849708557128897</v>
      </c>
      <c r="G26">
        <v>0.41973669435515398</v>
      </c>
      <c r="H26">
        <v>94.673006394364606</v>
      </c>
      <c r="I26">
        <v>0.33957182773868</v>
      </c>
      <c r="J26">
        <v>8.9937304161343405</v>
      </c>
      <c r="K26">
        <v>11.116937173288401</v>
      </c>
      <c r="L26">
        <v>3.5963936551343598E-2</v>
      </c>
      <c r="M26">
        <v>4.4454170254890103E-2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DA7F-2342-AB43-868F-DAC5C591AAB7}">
  <dimension ref="A1:U88"/>
  <sheetViews>
    <sheetView topLeftCell="A14" workbookViewId="0">
      <selection activeCell="Q37" sqref="Q37"/>
    </sheetView>
  </sheetViews>
  <sheetFormatPr baseColWidth="10" defaultRowHeight="14" x14ac:dyDescent="0.2"/>
  <cols>
    <col min="1" max="1" width="15.3984375" customWidth="1"/>
  </cols>
  <sheetData>
    <row r="1" spans="1:17" ht="16" x14ac:dyDescent="0.2">
      <c r="A1" s="7"/>
      <c r="B1" s="7"/>
      <c r="C1" s="1" t="s">
        <v>34</v>
      </c>
    </row>
    <row r="2" spans="1:17" ht="16" x14ac:dyDescent="0.2">
      <c r="A2" s="1" t="s">
        <v>35</v>
      </c>
      <c r="B2" s="10">
        <v>45079</v>
      </c>
      <c r="C2" s="7"/>
    </row>
    <row r="3" spans="1:17" ht="16" x14ac:dyDescent="0.2">
      <c r="A3" s="1" t="s">
        <v>36</v>
      </c>
      <c r="B3" s="7" t="s">
        <v>56</v>
      </c>
      <c r="C3" s="7"/>
    </row>
    <row r="4" spans="1:17" ht="16" x14ac:dyDescent="0.2">
      <c r="A4" s="1" t="s">
        <v>37</v>
      </c>
      <c r="B4" s="7" t="s">
        <v>57</v>
      </c>
      <c r="C4" s="7"/>
    </row>
    <row r="5" spans="1:17" ht="16" x14ac:dyDescent="0.2">
      <c r="A5" s="1" t="s">
        <v>38</v>
      </c>
      <c r="B5" s="7"/>
      <c r="C5" s="7"/>
    </row>
    <row r="6" spans="1:17" ht="16" x14ac:dyDescent="0.2">
      <c r="A6" s="1" t="s">
        <v>39</v>
      </c>
      <c r="B6" s="7"/>
      <c r="C6" s="7"/>
    </row>
    <row r="7" spans="1:17" ht="16" x14ac:dyDescent="0.2">
      <c r="A7" s="1" t="s">
        <v>40</v>
      </c>
      <c r="B7" s="7"/>
      <c r="C7" s="7"/>
    </row>
    <row r="8" spans="1:17" ht="16" x14ac:dyDescent="0.2">
      <c r="A8" s="1" t="s">
        <v>41</v>
      </c>
      <c r="B8" s="7"/>
      <c r="C8" s="7"/>
    </row>
    <row r="9" spans="1:17" ht="16" x14ac:dyDescent="0.2">
      <c r="A9" s="1" t="s">
        <v>42</v>
      </c>
      <c r="B9" s="2">
        <v>0</v>
      </c>
      <c r="C9" s="2" t="s">
        <v>43</v>
      </c>
    </row>
    <row r="10" spans="1:17" ht="16" x14ac:dyDescent="0.2">
      <c r="A10" s="1" t="s">
        <v>44</v>
      </c>
      <c r="B10" s="7"/>
      <c r="C10" s="7" t="s">
        <v>88</v>
      </c>
    </row>
    <row r="11" spans="1:17" ht="16" x14ac:dyDescent="0.2">
      <c r="A11" s="1" t="s">
        <v>34</v>
      </c>
      <c r="B11" s="7" t="s">
        <v>89</v>
      </c>
      <c r="C11" s="7"/>
    </row>
    <row r="13" spans="1:17" ht="16" x14ac:dyDescent="0.2">
      <c r="A13" s="11" t="s">
        <v>58</v>
      </c>
      <c r="M13" s="11" t="s">
        <v>59</v>
      </c>
    </row>
    <row r="14" spans="1:17" ht="16" x14ac:dyDescent="0.2">
      <c r="A14" s="11" t="s">
        <v>45</v>
      </c>
      <c r="B14" s="11" t="s">
        <v>60</v>
      </c>
      <c r="C14" s="11" t="s">
        <v>61</v>
      </c>
      <c r="D14" s="11" t="s">
        <v>62</v>
      </c>
      <c r="E14" s="11" t="s">
        <v>34</v>
      </c>
      <c r="F14" s="11"/>
      <c r="G14" s="11"/>
      <c r="I14" s="11" t="s">
        <v>63</v>
      </c>
      <c r="N14" s="11" t="s">
        <v>47</v>
      </c>
      <c r="O14" s="11" t="s">
        <v>64</v>
      </c>
      <c r="P14" s="11" t="s">
        <v>65</v>
      </c>
      <c r="Q14" s="11" t="s">
        <v>66</v>
      </c>
    </row>
    <row r="15" spans="1:17" x14ac:dyDescent="0.2">
      <c r="A15">
        <v>20</v>
      </c>
      <c r="B15" s="12">
        <v>35</v>
      </c>
      <c r="C15">
        <v>3</v>
      </c>
      <c r="D15" s="13">
        <v>0.75</v>
      </c>
      <c r="E15" t="s">
        <v>67</v>
      </c>
      <c r="I15" s="13">
        <v>0.5</v>
      </c>
      <c r="M15">
        <f>(MAX($A$15:$A$22)-A15)/100</f>
        <v>5.4</v>
      </c>
      <c r="N15">
        <f>A15/100</f>
        <v>0.2</v>
      </c>
      <c r="O15">
        <f>B15/100</f>
        <v>0.35</v>
      </c>
      <c r="P15" s="14">
        <f>(C15+D15/12-$I$15/12)/3.281</f>
        <v>0.9207050695926039</v>
      </c>
      <c r="Q15" s="14">
        <f>P15-O15</f>
        <v>0.57070506959260392</v>
      </c>
    </row>
    <row r="16" spans="1:17" x14ac:dyDescent="0.2">
      <c r="A16">
        <v>100</v>
      </c>
      <c r="B16" s="12">
        <v>35</v>
      </c>
      <c r="C16">
        <v>3</v>
      </c>
      <c r="D16" s="13">
        <v>0.75</v>
      </c>
      <c r="M16">
        <f t="shared" ref="M16:M22" si="0">(MAX($A$15:$A$22)-A16)/100</f>
        <v>4.5999999999999996</v>
      </c>
      <c r="N16">
        <f t="shared" ref="N16:O22" si="1">A16/100</f>
        <v>1</v>
      </c>
      <c r="O16">
        <f t="shared" si="1"/>
        <v>0.35</v>
      </c>
      <c r="P16" s="14">
        <f t="shared" ref="P16:P22" si="2">(C16+D16/12-$I$15/12)/3.281</f>
        <v>0.9207050695926039</v>
      </c>
      <c r="Q16" s="14">
        <f t="shared" ref="Q16:Q22" si="3">P16-O16</f>
        <v>0.57070506959260392</v>
      </c>
    </row>
    <row r="17" spans="1:21" x14ac:dyDescent="0.2">
      <c r="A17">
        <v>200</v>
      </c>
      <c r="B17" s="12">
        <v>35</v>
      </c>
      <c r="C17">
        <v>3</v>
      </c>
      <c r="D17" s="13">
        <v>0.625</v>
      </c>
      <c r="M17">
        <f t="shared" si="0"/>
        <v>3.6</v>
      </c>
      <c r="N17">
        <f t="shared" si="1"/>
        <v>2</v>
      </c>
      <c r="O17">
        <f t="shared" si="1"/>
        <v>0.35</v>
      </c>
      <c r="P17" s="14">
        <f t="shared" si="2"/>
        <v>0.91753022452504318</v>
      </c>
      <c r="Q17" s="14">
        <f t="shared" si="3"/>
        <v>0.5675302245250432</v>
      </c>
    </row>
    <row r="18" spans="1:21" x14ac:dyDescent="0.2">
      <c r="A18">
        <v>300</v>
      </c>
      <c r="B18" s="12">
        <v>35</v>
      </c>
      <c r="C18">
        <v>3</v>
      </c>
      <c r="D18" s="13">
        <v>0.5</v>
      </c>
      <c r="M18">
        <f t="shared" si="0"/>
        <v>2.6</v>
      </c>
      <c r="N18">
        <f t="shared" si="1"/>
        <v>3</v>
      </c>
      <c r="O18">
        <f t="shared" si="1"/>
        <v>0.35</v>
      </c>
      <c r="P18" s="14">
        <f t="shared" si="2"/>
        <v>0.91435537945748246</v>
      </c>
      <c r="Q18" s="14">
        <f t="shared" si="3"/>
        <v>0.56435537945748249</v>
      </c>
    </row>
    <row r="19" spans="1:21" x14ac:dyDescent="0.2">
      <c r="A19">
        <v>400</v>
      </c>
      <c r="B19" s="12">
        <v>35</v>
      </c>
      <c r="C19">
        <v>3</v>
      </c>
      <c r="D19" s="13">
        <v>0.625</v>
      </c>
      <c r="M19">
        <f t="shared" si="0"/>
        <v>1.6</v>
      </c>
      <c r="N19">
        <f t="shared" si="1"/>
        <v>4</v>
      </c>
      <c r="O19">
        <f t="shared" si="1"/>
        <v>0.35</v>
      </c>
      <c r="P19" s="14">
        <f t="shared" si="2"/>
        <v>0.91753022452504318</v>
      </c>
      <c r="Q19" s="14">
        <f t="shared" si="3"/>
        <v>0.5675302245250432</v>
      </c>
    </row>
    <row r="20" spans="1:21" x14ac:dyDescent="0.2">
      <c r="A20">
        <v>500</v>
      </c>
      <c r="B20" s="12">
        <v>35</v>
      </c>
      <c r="C20">
        <v>3</v>
      </c>
      <c r="D20" s="13">
        <v>0.75</v>
      </c>
      <c r="M20">
        <f t="shared" si="0"/>
        <v>0.6</v>
      </c>
      <c r="N20">
        <f t="shared" si="1"/>
        <v>5</v>
      </c>
      <c r="O20">
        <f t="shared" si="1"/>
        <v>0.35</v>
      </c>
      <c r="P20" s="14">
        <f t="shared" si="2"/>
        <v>0.9207050695926039</v>
      </c>
      <c r="Q20" s="14">
        <f t="shared" si="3"/>
        <v>0.57070506959260392</v>
      </c>
    </row>
    <row r="21" spans="1:21" x14ac:dyDescent="0.2">
      <c r="A21">
        <v>0</v>
      </c>
      <c r="B21" s="12"/>
      <c r="C21">
        <v>3</v>
      </c>
      <c r="D21" s="13">
        <v>0.75</v>
      </c>
      <c r="M21">
        <f t="shared" si="0"/>
        <v>5.6</v>
      </c>
      <c r="N21">
        <f t="shared" si="1"/>
        <v>0</v>
      </c>
      <c r="P21" s="14">
        <f t="shared" si="2"/>
        <v>0.9207050695926039</v>
      </c>
      <c r="Q21" s="14"/>
    </row>
    <row r="22" spans="1:21" x14ac:dyDescent="0.2">
      <c r="A22">
        <v>560</v>
      </c>
      <c r="B22" s="12">
        <v>35</v>
      </c>
      <c r="C22">
        <v>3</v>
      </c>
      <c r="D22" s="13">
        <v>0.75</v>
      </c>
      <c r="M22">
        <f t="shared" si="0"/>
        <v>0</v>
      </c>
      <c r="N22">
        <f t="shared" si="1"/>
        <v>5.6</v>
      </c>
      <c r="O22">
        <f t="shared" si="1"/>
        <v>0.35</v>
      </c>
      <c r="P22" s="14">
        <f t="shared" si="2"/>
        <v>0.9207050695926039</v>
      </c>
      <c r="Q22" s="14">
        <f t="shared" si="3"/>
        <v>0.57070506959260392</v>
      </c>
    </row>
    <row r="23" spans="1:21" ht="16" x14ac:dyDescent="0.2">
      <c r="M23" s="11" t="s">
        <v>68</v>
      </c>
      <c r="O23">
        <f>AVERAGE(O15:O20,O22)</f>
        <v>0.35000000000000003</v>
      </c>
      <c r="P23" s="14"/>
      <c r="Q23" s="14"/>
    </row>
    <row r="24" spans="1:21" x14ac:dyDescent="0.2">
      <c r="P24" s="14"/>
      <c r="Q24" s="14"/>
    </row>
    <row r="25" spans="1:21" ht="16" x14ac:dyDescent="0.2">
      <c r="M25" s="11" t="s">
        <v>69</v>
      </c>
      <c r="P25" s="14"/>
      <c r="Q25" s="14"/>
      <c r="R25" s="11" t="s">
        <v>70</v>
      </c>
    </row>
    <row r="26" spans="1:21" ht="16" x14ac:dyDescent="0.2">
      <c r="A26" s="11" t="s">
        <v>45</v>
      </c>
      <c r="B26" s="11" t="s">
        <v>71</v>
      </c>
      <c r="C26" s="11" t="s">
        <v>72</v>
      </c>
      <c r="D26" s="11" t="s">
        <v>34</v>
      </c>
      <c r="H26" s="11" t="s">
        <v>46</v>
      </c>
      <c r="I26" s="11" t="s">
        <v>73</v>
      </c>
      <c r="J26" s="11" t="s">
        <v>74</v>
      </c>
      <c r="K26" s="11" t="s">
        <v>75</v>
      </c>
      <c r="M26" s="11" t="s">
        <v>47</v>
      </c>
      <c r="N26" s="11" t="s">
        <v>48</v>
      </c>
      <c r="O26" s="11" t="s">
        <v>49</v>
      </c>
      <c r="P26" s="11" t="s">
        <v>76</v>
      </c>
      <c r="R26" s="11" t="s">
        <v>47</v>
      </c>
      <c r="S26" s="11" t="s">
        <v>48</v>
      </c>
      <c r="T26" s="11" t="s">
        <v>49</v>
      </c>
      <c r="U26" s="11" t="s">
        <v>76</v>
      </c>
    </row>
    <row r="27" spans="1:21" x14ac:dyDescent="0.2">
      <c r="A27">
        <v>-17</v>
      </c>
      <c r="B27" s="15">
        <v>0</v>
      </c>
      <c r="C27" s="16">
        <v>0</v>
      </c>
      <c r="D27" s="17" t="s">
        <v>77</v>
      </c>
      <c r="H27">
        <f>MIN(A27:A77)</f>
        <v>-17</v>
      </c>
      <c r="I27" s="14">
        <f>(B39+C39/12)-(B40+C40/12)</f>
        <v>3.09375</v>
      </c>
      <c r="J27" s="14">
        <f>(B72+C72/12)-(B71+C71/12)</f>
        <v>3.0208333333333335</v>
      </c>
      <c r="K27" s="14">
        <f>(B47+C47/12)</f>
        <v>1.78125</v>
      </c>
      <c r="M27" s="14">
        <f>(A27-$H$27)/100</f>
        <v>0</v>
      </c>
      <c r="N27" s="15">
        <f>($I$27+$K$27-(B27+C27/12))/3.281</f>
        <v>1.4858274916184089</v>
      </c>
      <c r="O27" s="14">
        <f>$K$27/3.281-$O$23</f>
        <v>0.19289850655288016</v>
      </c>
      <c r="P27">
        <f>$K$27/3.281</f>
        <v>0.54289850655288019</v>
      </c>
      <c r="R27" s="14">
        <f>$M$77-M27</f>
        <v>9.25</v>
      </c>
      <c r="S27" s="15">
        <f>N27</f>
        <v>1.4858274916184089</v>
      </c>
      <c r="T27">
        <f>$K$27/3.281-$O$23</f>
        <v>0.19289850655288016</v>
      </c>
      <c r="U27">
        <f>$K$27/3.281</f>
        <v>0.54289850655288019</v>
      </c>
    </row>
    <row r="28" spans="1:21" x14ac:dyDescent="0.2">
      <c r="A28">
        <v>0</v>
      </c>
      <c r="B28" s="15">
        <v>0</v>
      </c>
      <c r="C28" s="16">
        <v>0.375</v>
      </c>
      <c r="D28" s="17" t="s">
        <v>77</v>
      </c>
      <c r="M28" s="14">
        <f t="shared" ref="M28:M77" si="4">(A28-$H$27)/100</f>
        <v>0.17</v>
      </c>
      <c r="N28" s="15">
        <f t="shared" ref="N28:N39" si="5">($I$27+$K$27-(B28+C28/12))/3.281</f>
        <v>1.4763029564157268</v>
      </c>
      <c r="O28" s="14">
        <f t="shared" ref="O28:O77" si="6">$K$27/3.281-$O$23</f>
        <v>0.19289850655288016</v>
      </c>
      <c r="P28">
        <f t="shared" ref="P28:P77" si="7">$K$27/3.281</f>
        <v>0.54289850655288019</v>
      </c>
      <c r="R28" s="14">
        <f t="shared" ref="R28:R77" si="8">$M$77-M28</f>
        <v>9.08</v>
      </c>
      <c r="S28" s="15">
        <f t="shared" ref="S28:S77" si="9">N28</f>
        <v>1.4763029564157268</v>
      </c>
      <c r="T28">
        <f t="shared" ref="T28:T77" si="10">$K$27/3.281-$O$23</f>
        <v>0.19289850655288016</v>
      </c>
      <c r="U28">
        <f t="shared" ref="U28:U77" si="11">$K$27/3.281</f>
        <v>0.54289850655288019</v>
      </c>
    </row>
    <row r="29" spans="1:21" x14ac:dyDescent="0.2">
      <c r="A29">
        <v>20</v>
      </c>
      <c r="B29" s="15">
        <v>0</v>
      </c>
      <c r="C29" s="16">
        <v>0.625</v>
      </c>
      <c r="D29" s="17" t="s">
        <v>77</v>
      </c>
      <c r="M29" s="14">
        <f t="shared" si="4"/>
        <v>0.37</v>
      </c>
      <c r="N29" s="15">
        <f t="shared" si="5"/>
        <v>1.4699532662806056</v>
      </c>
      <c r="O29" s="14">
        <f>$K$27/3.281-$O$23</f>
        <v>0.19289850655288016</v>
      </c>
      <c r="P29">
        <f t="shared" si="7"/>
        <v>0.54289850655288019</v>
      </c>
      <c r="R29" s="14">
        <f t="shared" si="8"/>
        <v>8.8800000000000008</v>
      </c>
      <c r="S29" s="15">
        <f t="shared" si="9"/>
        <v>1.4699532662806056</v>
      </c>
      <c r="T29">
        <f t="shared" si="10"/>
        <v>0.19289850655288016</v>
      </c>
      <c r="U29">
        <f t="shared" si="11"/>
        <v>0.54289850655288019</v>
      </c>
    </row>
    <row r="30" spans="1:21" x14ac:dyDescent="0.2">
      <c r="A30">
        <v>40</v>
      </c>
      <c r="B30" s="15">
        <v>0</v>
      </c>
      <c r="C30" s="16">
        <v>1.375</v>
      </c>
      <c r="D30" s="17" t="s">
        <v>77</v>
      </c>
      <c r="M30" s="14">
        <f t="shared" si="4"/>
        <v>0.56999999999999995</v>
      </c>
      <c r="N30" s="15">
        <f t="shared" si="5"/>
        <v>1.4509041958752413</v>
      </c>
      <c r="O30" s="14">
        <f t="shared" si="6"/>
        <v>0.19289850655288016</v>
      </c>
      <c r="P30">
        <f t="shared" si="7"/>
        <v>0.54289850655288019</v>
      </c>
      <c r="R30" s="14">
        <f t="shared" si="8"/>
        <v>8.68</v>
      </c>
      <c r="S30" s="15">
        <f t="shared" si="9"/>
        <v>1.4509041958752413</v>
      </c>
      <c r="T30">
        <f t="shared" si="10"/>
        <v>0.19289850655288016</v>
      </c>
      <c r="U30">
        <f t="shared" si="11"/>
        <v>0.54289850655288019</v>
      </c>
    </row>
    <row r="31" spans="1:21" x14ac:dyDescent="0.2">
      <c r="A31">
        <v>60</v>
      </c>
      <c r="B31" s="15">
        <v>0</v>
      </c>
      <c r="C31" s="16">
        <v>2.5</v>
      </c>
      <c r="D31" s="17" t="s">
        <v>78</v>
      </c>
      <c r="H31" s="18">
        <f>3.1+M40</f>
        <v>5.4399999999999995</v>
      </c>
      <c r="M31" s="14">
        <f t="shared" si="4"/>
        <v>0.77</v>
      </c>
      <c r="N31" s="15">
        <f t="shared" si="5"/>
        <v>1.422330590267195</v>
      </c>
      <c r="O31" s="14">
        <f t="shared" si="6"/>
        <v>0.19289850655288016</v>
      </c>
      <c r="P31">
        <f t="shared" si="7"/>
        <v>0.54289850655288019</v>
      </c>
      <c r="R31" s="14">
        <f t="shared" si="8"/>
        <v>8.48</v>
      </c>
      <c r="S31" s="15">
        <f t="shared" si="9"/>
        <v>1.422330590267195</v>
      </c>
      <c r="T31">
        <f t="shared" si="10"/>
        <v>0.19289850655288016</v>
      </c>
      <c r="U31">
        <f t="shared" si="11"/>
        <v>0.54289850655288019</v>
      </c>
    </row>
    <row r="32" spans="1:21" x14ac:dyDescent="0.2">
      <c r="A32">
        <v>80</v>
      </c>
      <c r="B32" s="15">
        <v>0</v>
      </c>
      <c r="C32" s="16">
        <v>2.5</v>
      </c>
      <c r="D32" s="17" t="s">
        <v>78</v>
      </c>
      <c r="H32" s="18">
        <f>M77-H31</f>
        <v>3.8100000000000005</v>
      </c>
      <c r="M32" s="14">
        <f t="shared" si="4"/>
        <v>0.97</v>
      </c>
      <c r="N32" s="15">
        <f t="shared" si="5"/>
        <v>1.422330590267195</v>
      </c>
      <c r="O32" s="14">
        <f t="shared" si="6"/>
        <v>0.19289850655288016</v>
      </c>
      <c r="P32">
        <f t="shared" si="7"/>
        <v>0.54289850655288019</v>
      </c>
      <c r="R32" s="14">
        <f t="shared" si="8"/>
        <v>8.2799999999999994</v>
      </c>
      <c r="S32" s="15">
        <f t="shared" si="9"/>
        <v>1.422330590267195</v>
      </c>
      <c r="T32">
        <f t="shared" si="10"/>
        <v>0.19289850655288016</v>
      </c>
      <c r="U32">
        <f t="shared" si="11"/>
        <v>0.54289850655288019</v>
      </c>
    </row>
    <row r="33" spans="1:21" x14ac:dyDescent="0.2">
      <c r="A33">
        <v>100</v>
      </c>
      <c r="B33" s="15">
        <v>0</v>
      </c>
      <c r="C33" s="16">
        <v>2.375</v>
      </c>
      <c r="D33" s="17" t="s">
        <v>78</v>
      </c>
      <c r="M33" s="14">
        <f t="shared" si="4"/>
        <v>1.17</v>
      </c>
      <c r="N33" s="15">
        <f t="shared" si="5"/>
        <v>1.4255054353347556</v>
      </c>
      <c r="O33" s="14">
        <f t="shared" si="6"/>
        <v>0.19289850655288016</v>
      </c>
      <c r="P33">
        <f t="shared" si="7"/>
        <v>0.54289850655288019</v>
      </c>
      <c r="R33" s="14">
        <f t="shared" si="8"/>
        <v>8.08</v>
      </c>
      <c r="S33" s="15">
        <f t="shared" si="9"/>
        <v>1.4255054353347556</v>
      </c>
      <c r="T33">
        <f t="shared" si="10"/>
        <v>0.19289850655288016</v>
      </c>
      <c r="U33">
        <f t="shared" si="11"/>
        <v>0.54289850655288019</v>
      </c>
    </row>
    <row r="34" spans="1:21" x14ac:dyDescent="0.2">
      <c r="A34">
        <v>120</v>
      </c>
      <c r="B34" s="15">
        <v>0</v>
      </c>
      <c r="C34" s="16">
        <v>3.875</v>
      </c>
      <c r="D34" s="19" t="s">
        <v>77</v>
      </c>
      <c r="M34" s="14">
        <f t="shared" si="4"/>
        <v>1.37</v>
      </c>
      <c r="N34" s="15">
        <f t="shared" si="5"/>
        <v>1.387407294524027</v>
      </c>
      <c r="O34" s="14">
        <f t="shared" si="6"/>
        <v>0.19289850655288016</v>
      </c>
      <c r="P34">
        <f t="shared" si="7"/>
        <v>0.54289850655288019</v>
      </c>
      <c r="R34" s="14">
        <f t="shared" si="8"/>
        <v>7.88</v>
      </c>
      <c r="S34" s="15">
        <f t="shared" si="9"/>
        <v>1.387407294524027</v>
      </c>
      <c r="T34">
        <f t="shared" si="10"/>
        <v>0.19289850655288016</v>
      </c>
      <c r="U34">
        <f t="shared" si="11"/>
        <v>0.54289850655288019</v>
      </c>
    </row>
    <row r="35" spans="1:21" x14ac:dyDescent="0.2">
      <c r="A35">
        <v>140</v>
      </c>
      <c r="B35" s="15">
        <v>0</v>
      </c>
      <c r="C35" s="16">
        <v>7.75</v>
      </c>
      <c r="D35" s="19" t="s">
        <v>77</v>
      </c>
      <c r="M35" s="14">
        <f t="shared" si="4"/>
        <v>1.57</v>
      </c>
      <c r="N35" s="15">
        <f t="shared" si="5"/>
        <v>1.2889870974296456</v>
      </c>
      <c r="O35" s="14">
        <f t="shared" si="6"/>
        <v>0.19289850655288016</v>
      </c>
      <c r="P35">
        <f t="shared" si="7"/>
        <v>0.54289850655288019</v>
      </c>
      <c r="R35" s="14">
        <f t="shared" si="8"/>
        <v>7.68</v>
      </c>
      <c r="S35" s="15">
        <f t="shared" si="9"/>
        <v>1.2889870974296456</v>
      </c>
      <c r="T35">
        <f t="shared" si="10"/>
        <v>0.19289850655288016</v>
      </c>
      <c r="U35">
        <f t="shared" si="11"/>
        <v>0.54289850655288019</v>
      </c>
    </row>
    <row r="36" spans="1:21" x14ac:dyDescent="0.2">
      <c r="A36">
        <v>160</v>
      </c>
      <c r="B36" s="15">
        <v>1</v>
      </c>
      <c r="C36" s="16">
        <v>4.75</v>
      </c>
      <c r="D36" s="19" t="s">
        <v>77</v>
      </c>
      <c r="M36" s="14">
        <f t="shared" si="4"/>
        <v>1.77</v>
      </c>
      <c r="N36" s="15">
        <f t="shared" si="5"/>
        <v>1.0603982525652749</v>
      </c>
      <c r="O36" s="14">
        <f t="shared" si="6"/>
        <v>0.19289850655288016</v>
      </c>
      <c r="P36">
        <f t="shared" si="7"/>
        <v>0.54289850655288019</v>
      </c>
      <c r="R36" s="14">
        <f t="shared" si="8"/>
        <v>7.48</v>
      </c>
      <c r="S36" s="15">
        <f t="shared" si="9"/>
        <v>1.0603982525652749</v>
      </c>
      <c r="T36">
        <f t="shared" si="10"/>
        <v>0.19289850655288016</v>
      </c>
      <c r="U36">
        <f t="shared" si="11"/>
        <v>0.54289850655288019</v>
      </c>
    </row>
    <row r="37" spans="1:21" x14ac:dyDescent="0.2">
      <c r="A37">
        <v>180</v>
      </c>
      <c r="B37" s="15">
        <v>2</v>
      </c>
      <c r="C37" s="16">
        <v>1.125</v>
      </c>
      <c r="D37" s="17"/>
      <c r="M37" s="14">
        <f t="shared" si="4"/>
        <v>1.97</v>
      </c>
      <c r="N37" s="15">
        <f t="shared" si="5"/>
        <v>0.84768363303870764</v>
      </c>
      <c r="O37" s="14">
        <f t="shared" si="6"/>
        <v>0.19289850655288016</v>
      </c>
      <c r="P37">
        <f t="shared" si="7"/>
        <v>0.54289850655288019</v>
      </c>
      <c r="R37" s="14">
        <f t="shared" si="8"/>
        <v>7.28</v>
      </c>
      <c r="S37" s="15">
        <f t="shared" si="9"/>
        <v>0.84768363303870764</v>
      </c>
      <c r="T37">
        <f t="shared" si="10"/>
        <v>0.19289850655288016</v>
      </c>
      <c r="U37">
        <f t="shared" si="11"/>
        <v>0.54289850655288019</v>
      </c>
    </row>
    <row r="38" spans="1:21" x14ac:dyDescent="0.2">
      <c r="A38">
        <v>200</v>
      </c>
      <c r="B38" s="15">
        <v>2</v>
      </c>
      <c r="C38" s="16">
        <v>8.375</v>
      </c>
      <c r="D38" s="19" t="s">
        <v>79</v>
      </c>
      <c r="M38" s="14">
        <f t="shared" si="4"/>
        <v>2.17</v>
      </c>
      <c r="N38" s="15">
        <f t="shared" si="5"/>
        <v>0.66354261912018697</v>
      </c>
      <c r="O38" s="14">
        <f t="shared" si="6"/>
        <v>0.19289850655288016</v>
      </c>
      <c r="P38">
        <f t="shared" si="7"/>
        <v>0.54289850655288019</v>
      </c>
      <c r="R38" s="14">
        <f t="shared" si="8"/>
        <v>7.08</v>
      </c>
      <c r="S38" s="15">
        <f t="shared" si="9"/>
        <v>0.66354261912018697</v>
      </c>
      <c r="T38">
        <f t="shared" si="10"/>
        <v>0.19289850655288016</v>
      </c>
      <c r="U38">
        <f t="shared" si="11"/>
        <v>0.54289850655288019</v>
      </c>
    </row>
    <row r="39" spans="1:21" x14ac:dyDescent="0.2">
      <c r="A39" s="20">
        <v>217</v>
      </c>
      <c r="B39" s="15">
        <v>3</v>
      </c>
      <c r="C39" s="16">
        <v>11.625</v>
      </c>
      <c r="D39" s="19" t="s">
        <v>80</v>
      </c>
      <c r="M39" s="21">
        <f t="shared" si="4"/>
        <v>2.34</v>
      </c>
      <c r="N39" s="15">
        <f t="shared" si="5"/>
        <v>0.27621152087778117</v>
      </c>
      <c r="O39" s="14">
        <f t="shared" si="6"/>
        <v>0.19289850655288016</v>
      </c>
      <c r="P39">
        <f t="shared" si="7"/>
        <v>0.54289850655288019</v>
      </c>
      <c r="R39" s="21">
        <f t="shared" si="8"/>
        <v>6.91</v>
      </c>
      <c r="S39" s="15">
        <f t="shared" si="9"/>
        <v>0.27621152087778117</v>
      </c>
      <c r="T39">
        <f t="shared" si="10"/>
        <v>0.19289850655288016</v>
      </c>
      <c r="U39">
        <f t="shared" si="11"/>
        <v>0.54289850655288019</v>
      </c>
    </row>
    <row r="40" spans="1:21" x14ac:dyDescent="0.2">
      <c r="A40" s="20">
        <v>217</v>
      </c>
      <c r="B40" s="22">
        <v>0</v>
      </c>
      <c r="C40" s="23">
        <v>10.5</v>
      </c>
      <c r="D40" s="19" t="s">
        <v>81</v>
      </c>
      <c r="L40" s="13"/>
      <c r="M40" s="21">
        <f t="shared" si="4"/>
        <v>2.34</v>
      </c>
      <c r="N40" s="22">
        <f t="shared" ref="N40:N71" si="12">($K$27-(B40+C40/12))/3.281</f>
        <v>0.27621152087778117</v>
      </c>
      <c r="O40" s="14">
        <f t="shared" si="6"/>
        <v>0.19289850655288016</v>
      </c>
      <c r="P40">
        <f t="shared" si="7"/>
        <v>0.54289850655288019</v>
      </c>
      <c r="R40" s="21">
        <f t="shared" si="8"/>
        <v>6.91</v>
      </c>
      <c r="S40" s="22">
        <f t="shared" si="9"/>
        <v>0.27621152087778117</v>
      </c>
      <c r="T40">
        <f t="shared" si="10"/>
        <v>0.19289850655288016</v>
      </c>
      <c r="U40">
        <f t="shared" si="11"/>
        <v>0.54289850655288019</v>
      </c>
    </row>
    <row r="41" spans="1:21" x14ac:dyDescent="0.2">
      <c r="A41">
        <v>237</v>
      </c>
      <c r="B41" s="22">
        <v>1</v>
      </c>
      <c r="C41" s="23">
        <v>3.25</v>
      </c>
      <c r="D41" s="19"/>
      <c r="M41" s="14">
        <f t="shared" si="4"/>
        <v>2.54</v>
      </c>
      <c r="N41" s="22">
        <f t="shared" si="12"/>
        <v>0.15556740831047447</v>
      </c>
      <c r="O41" s="14">
        <f t="shared" si="6"/>
        <v>0.19289850655288016</v>
      </c>
      <c r="P41">
        <f t="shared" si="7"/>
        <v>0.54289850655288019</v>
      </c>
      <c r="R41" s="14">
        <f t="shared" si="8"/>
        <v>6.71</v>
      </c>
      <c r="S41" s="22">
        <f t="shared" si="9"/>
        <v>0.15556740831047447</v>
      </c>
      <c r="T41">
        <f t="shared" si="10"/>
        <v>0.19289850655288016</v>
      </c>
      <c r="U41">
        <f t="shared" si="11"/>
        <v>0.54289850655288019</v>
      </c>
    </row>
    <row r="42" spans="1:21" x14ac:dyDescent="0.2">
      <c r="A42">
        <v>257</v>
      </c>
      <c r="B42" s="22">
        <v>1</v>
      </c>
      <c r="C42" s="23">
        <v>6.125</v>
      </c>
      <c r="D42" s="19"/>
      <c r="E42" s="13"/>
      <c r="M42" s="14">
        <f t="shared" si="4"/>
        <v>2.74</v>
      </c>
      <c r="N42" s="22">
        <f t="shared" si="12"/>
        <v>8.2545971756578324E-2</v>
      </c>
      <c r="O42" s="14">
        <f t="shared" si="6"/>
        <v>0.19289850655288016</v>
      </c>
      <c r="P42">
        <f t="shared" si="7"/>
        <v>0.54289850655288019</v>
      </c>
      <c r="R42" s="14">
        <f t="shared" si="8"/>
        <v>6.51</v>
      </c>
      <c r="S42" s="22">
        <f t="shared" si="9"/>
        <v>8.2545971756578324E-2</v>
      </c>
      <c r="T42">
        <f t="shared" si="10"/>
        <v>0.19289850655288016</v>
      </c>
      <c r="U42">
        <f t="shared" si="11"/>
        <v>0.54289850655288019</v>
      </c>
    </row>
    <row r="43" spans="1:21" x14ac:dyDescent="0.2">
      <c r="A43">
        <v>277</v>
      </c>
      <c r="B43" s="22">
        <v>1</v>
      </c>
      <c r="C43" s="23">
        <v>6.75</v>
      </c>
      <c r="D43" s="19"/>
      <c r="M43" s="14">
        <f t="shared" si="4"/>
        <v>2.94</v>
      </c>
      <c r="N43" s="22">
        <f t="shared" si="12"/>
        <v>6.6671746418774755E-2</v>
      </c>
      <c r="O43" s="14">
        <f t="shared" si="6"/>
        <v>0.19289850655288016</v>
      </c>
      <c r="P43">
        <f t="shared" si="7"/>
        <v>0.54289850655288019</v>
      </c>
      <c r="R43" s="14">
        <f t="shared" si="8"/>
        <v>6.3100000000000005</v>
      </c>
      <c r="S43" s="22">
        <f t="shared" si="9"/>
        <v>6.6671746418774755E-2</v>
      </c>
      <c r="T43">
        <f t="shared" si="10"/>
        <v>0.19289850655288016</v>
      </c>
      <c r="U43">
        <f t="shared" si="11"/>
        <v>0.54289850655288019</v>
      </c>
    </row>
    <row r="44" spans="1:21" x14ac:dyDescent="0.2">
      <c r="A44">
        <v>297</v>
      </c>
      <c r="B44" s="22">
        <v>1</v>
      </c>
      <c r="C44" s="23">
        <v>7.625</v>
      </c>
      <c r="D44" s="19"/>
      <c r="M44" s="14">
        <f t="shared" si="4"/>
        <v>3.14</v>
      </c>
      <c r="N44" s="22">
        <f t="shared" si="12"/>
        <v>4.4447830945849885E-2</v>
      </c>
      <c r="O44" s="14">
        <f t="shared" si="6"/>
        <v>0.19289850655288016</v>
      </c>
      <c r="P44">
        <f t="shared" si="7"/>
        <v>0.54289850655288019</v>
      </c>
      <c r="R44" s="14">
        <f t="shared" si="8"/>
        <v>6.1099999999999994</v>
      </c>
      <c r="S44" s="22">
        <f t="shared" si="9"/>
        <v>4.4447830945849885E-2</v>
      </c>
      <c r="T44">
        <f t="shared" si="10"/>
        <v>0.19289850655288016</v>
      </c>
      <c r="U44">
        <f t="shared" si="11"/>
        <v>0.54289850655288019</v>
      </c>
    </row>
    <row r="45" spans="1:21" x14ac:dyDescent="0.2">
      <c r="A45">
        <v>317</v>
      </c>
      <c r="B45" s="22">
        <v>1</v>
      </c>
      <c r="C45" s="23">
        <v>8.125</v>
      </c>
      <c r="D45" s="19"/>
      <c r="M45" s="14">
        <f t="shared" si="4"/>
        <v>3.34</v>
      </c>
      <c r="N45" s="22">
        <f t="shared" si="12"/>
        <v>3.1748450675606985E-2</v>
      </c>
      <c r="O45" s="14">
        <f t="shared" si="6"/>
        <v>0.19289850655288016</v>
      </c>
      <c r="P45">
        <f t="shared" si="7"/>
        <v>0.54289850655288019</v>
      </c>
      <c r="R45" s="14">
        <f t="shared" si="8"/>
        <v>5.91</v>
      </c>
      <c r="S45" s="22">
        <f t="shared" si="9"/>
        <v>3.1748450675606985E-2</v>
      </c>
      <c r="T45">
        <f t="shared" si="10"/>
        <v>0.19289850655288016</v>
      </c>
      <c r="U45">
        <f t="shared" si="11"/>
        <v>0.54289850655288019</v>
      </c>
    </row>
    <row r="46" spans="1:21" x14ac:dyDescent="0.2">
      <c r="A46">
        <v>337</v>
      </c>
      <c r="B46" s="22">
        <v>1</v>
      </c>
      <c r="C46" s="23">
        <v>8.875</v>
      </c>
      <c r="D46" s="19"/>
      <c r="M46" s="14">
        <f t="shared" si="4"/>
        <v>3.54</v>
      </c>
      <c r="N46" s="22">
        <f t="shared" si="12"/>
        <v>1.2699380270242767E-2</v>
      </c>
      <c r="O46" s="14">
        <f t="shared" si="6"/>
        <v>0.19289850655288016</v>
      </c>
      <c r="P46">
        <f t="shared" si="7"/>
        <v>0.54289850655288019</v>
      </c>
      <c r="R46" s="14">
        <f t="shared" si="8"/>
        <v>5.71</v>
      </c>
      <c r="S46" s="22">
        <f t="shared" si="9"/>
        <v>1.2699380270242767E-2</v>
      </c>
      <c r="T46">
        <f t="shared" si="10"/>
        <v>0.19289850655288016</v>
      </c>
      <c r="U46">
        <f t="shared" si="11"/>
        <v>0.54289850655288019</v>
      </c>
    </row>
    <row r="47" spans="1:21" x14ac:dyDescent="0.2">
      <c r="A47" s="24">
        <v>357</v>
      </c>
      <c r="B47" s="24">
        <v>1</v>
      </c>
      <c r="C47" s="25">
        <v>9.375</v>
      </c>
      <c r="D47" s="19" t="s">
        <v>82</v>
      </c>
      <c r="M47" s="26">
        <f t="shared" si="4"/>
        <v>3.74</v>
      </c>
      <c r="N47" s="24">
        <f t="shared" si="12"/>
        <v>0</v>
      </c>
      <c r="O47" s="14">
        <f t="shared" si="6"/>
        <v>0.19289850655288016</v>
      </c>
      <c r="P47">
        <f t="shared" si="7"/>
        <v>0.54289850655288019</v>
      </c>
      <c r="R47" s="26">
        <f t="shared" si="8"/>
        <v>5.51</v>
      </c>
      <c r="S47" s="24">
        <f t="shared" si="9"/>
        <v>0</v>
      </c>
      <c r="T47">
        <f t="shared" si="10"/>
        <v>0.19289850655288016</v>
      </c>
      <c r="U47">
        <f t="shared" si="11"/>
        <v>0.54289850655288019</v>
      </c>
    </row>
    <row r="48" spans="1:21" x14ac:dyDescent="0.2">
      <c r="A48">
        <v>377</v>
      </c>
      <c r="B48" s="22">
        <v>1</v>
      </c>
      <c r="C48" s="23">
        <v>9.25</v>
      </c>
      <c r="D48" s="19"/>
      <c r="M48" s="14">
        <f t="shared" si="4"/>
        <v>3.94</v>
      </c>
      <c r="N48" s="22">
        <f t="shared" si="12"/>
        <v>3.1748450675606579E-3</v>
      </c>
      <c r="O48" s="14">
        <f t="shared" si="6"/>
        <v>0.19289850655288016</v>
      </c>
      <c r="P48">
        <f t="shared" si="7"/>
        <v>0.54289850655288019</v>
      </c>
      <c r="R48" s="14">
        <f t="shared" si="8"/>
        <v>5.3100000000000005</v>
      </c>
      <c r="S48" s="22">
        <f t="shared" si="9"/>
        <v>3.1748450675606579E-3</v>
      </c>
      <c r="T48">
        <f t="shared" si="10"/>
        <v>0.19289850655288016</v>
      </c>
      <c r="U48">
        <f t="shared" si="11"/>
        <v>0.54289850655288019</v>
      </c>
    </row>
    <row r="49" spans="1:21" x14ac:dyDescent="0.2">
      <c r="A49">
        <v>397</v>
      </c>
      <c r="B49" s="22">
        <v>1</v>
      </c>
      <c r="C49" s="23">
        <v>9</v>
      </c>
      <c r="D49" s="19"/>
      <c r="M49" s="14">
        <f t="shared" si="4"/>
        <v>4.1399999999999997</v>
      </c>
      <c r="N49" s="22">
        <f t="shared" si="12"/>
        <v>9.5245352026821078E-3</v>
      </c>
      <c r="O49" s="14">
        <f t="shared" si="6"/>
        <v>0.19289850655288016</v>
      </c>
      <c r="P49">
        <f t="shared" si="7"/>
        <v>0.54289850655288019</v>
      </c>
      <c r="R49" s="14">
        <f t="shared" si="8"/>
        <v>5.1100000000000003</v>
      </c>
      <c r="S49" s="22">
        <f t="shared" si="9"/>
        <v>9.5245352026821078E-3</v>
      </c>
      <c r="T49">
        <f t="shared" si="10"/>
        <v>0.19289850655288016</v>
      </c>
      <c r="U49">
        <f t="shared" si="11"/>
        <v>0.54289850655288019</v>
      </c>
    </row>
    <row r="50" spans="1:21" x14ac:dyDescent="0.2">
      <c r="A50">
        <v>417</v>
      </c>
      <c r="B50" s="22">
        <v>1</v>
      </c>
      <c r="C50" s="23">
        <v>9.125</v>
      </c>
      <c r="D50" s="19"/>
      <c r="M50" s="14">
        <f t="shared" si="4"/>
        <v>4.34</v>
      </c>
      <c r="N50" s="22">
        <f t="shared" si="12"/>
        <v>6.3496901351214512E-3</v>
      </c>
      <c r="O50" s="14">
        <f t="shared" si="6"/>
        <v>0.19289850655288016</v>
      </c>
      <c r="P50">
        <f t="shared" si="7"/>
        <v>0.54289850655288019</v>
      </c>
      <c r="R50" s="14">
        <f t="shared" si="8"/>
        <v>4.91</v>
      </c>
      <c r="S50" s="22">
        <f t="shared" si="9"/>
        <v>6.3496901351214512E-3</v>
      </c>
      <c r="T50">
        <f t="shared" si="10"/>
        <v>0.19289850655288016</v>
      </c>
      <c r="U50">
        <f t="shared" si="11"/>
        <v>0.54289850655288019</v>
      </c>
    </row>
    <row r="51" spans="1:21" x14ac:dyDescent="0.2">
      <c r="A51">
        <v>437</v>
      </c>
      <c r="B51" s="22">
        <v>1</v>
      </c>
      <c r="C51" s="23">
        <v>8.875</v>
      </c>
      <c r="D51" s="19"/>
      <c r="M51" s="14">
        <f t="shared" si="4"/>
        <v>4.54</v>
      </c>
      <c r="N51" s="22">
        <f t="shared" si="12"/>
        <v>1.2699380270242767E-2</v>
      </c>
      <c r="O51" s="14">
        <f t="shared" si="6"/>
        <v>0.19289850655288016</v>
      </c>
      <c r="P51">
        <f t="shared" si="7"/>
        <v>0.54289850655288019</v>
      </c>
      <c r="R51" s="14">
        <f t="shared" si="8"/>
        <v>4.71</v>
      </c>
      <c r="S51" s="22">
        <f t="shared" si="9"/>
        <v>1.2699380270242767E-2</v>
      </c>
      <c r="T51">
        <f t="shared" si="10"/>
        <v>0.19289850655288016</v>
      </c>
      <c r="U51">
        <f t="shared" si="11"/>
        <v>0.54289850655288019</v>
      </c>
    </row>
    <row r="52" spans="1:21" x14ac:dyDescent="0.2">
      <c r="A52">
        <v>457</v>
      </c>
      <c r="B52" s="22">
        <v>1</v>
      </c>
      <c r="C52" s="23">
        <v>9</v>
      </c>
      <c r="D52" s="19"/>
      <c r="M52" s="14">
        <f t="shared" si="4"/>
        <v>4.74</v>
      </c>
      <c r="N52" s="22">
        <f t="shared" si="12"/>
        <v>9.5245352026821078E-3</v>
      </c>
      <c r="O52" s="14">
        <f t="shared" si="6"/>
        <v>0.19289850655288016</v>
      </c>
      <c r="P52">
        <f t="shared" si="7"/>
        <v>0.54289850655288019</v>
      </c>
      <c r="R52" s="14">
        <f t="shared" si="8"/>
        <v>4.51</v>
      </c>
      <c r="S52" s="22">
        <f t="shared" si="9"/>
        <v>9.5245352026821078E-3</v>
      </c>
      <c r="T52">
        <f t="shared" si="10"/>
        <v>0.19289850655288016</v>
      </c>
      <c r="U52">
        <f t="shared" si="11"/>
        <v>0.54289850655288019</v>
      </c>
    </row>
    <row r="53" spans="1:21" x14ac:dyDescent="0.2">
      <c r="A53">
        <v>477</v>
      </c>
      <c r="B53" s="22">
        <v>1</v>
      </c>
      <c r="C53" s="23">
        <v>9</v>
      </c>
      <c r="D53" s="19"/>
      <c r="M53" s="14">
        <f t="shared" si="4"/>
        <v>4.9400000000000004</v>
      </c>
      <c r="N53" s="22">
        <f t="shared" si="12"/>
        <v>9.5245352026821078E-3</v>
      </c>
      <c r="O53" s="14">
        <f t="shared" si="6"/>
        <v>0.19289850655288016</v>
      </c>
      <c r="P53">
        <f t="shared" si="7"/>
        <v>0.54289850655288019</v>
      </c>
      <c r="R53" s="14">
        <f t="shared" si="8"/>
        <v>4.3099999999999996</v>
      </c>
      <c r="S53" s="22">
        <f t="shared" si="9"/>
        <v>9.5245352026821078E-3</v>
      </c>
      <c r="T53">
        <f t="shared" si="10"/>
        <v>0.19289850655288016</v>
      </c>
      <c r="U53">
        <f t="shared" si="11"/>
        <v>0.54289850655288019</v>
      </c>
    </row>
    <row r="54" spans="1:21" x14ac:dyDescent="0.2">
      <c r="A54">
        <v>497</v>
      </c>
      <c r="B54" s="22">
        <v>1</v>
      </c>
      <c r="C54" s="23">
        <v>8.875</v>
      </c>
      <c r="D54" s="19"/>
      <c r="M54" s="14">
        <f t="shared" si="4"/>
        <v>5.14</v>
      </c>
      <c r="N54" s="22">
        <f t="shared" si="12"/>
        <v>1.2699380270242767E-2</v>
      </c>
      <c r="O54" s="14">
        <f t="shared" si="6"/>
        <v>0.19289850655288016</v>
      </c>
      <c r="P54">
        <f t="shared" si="7"/>
        <v>0.54289850655288019</v>
      </c>
      <c r="R54" s="14">
        <f t="shared" si="8"/>
        <v>4.1100000000000003</v>
      </c>
      <c r="S54" s="22">
        <f t="shared" si="9"/>
        <v>1.2699380270242767E-2</v>
      </c>
      <c r="T54">
        <f t="shared" si="10"/>
        <v>0.19289850655288016</v>
      </c>
      <c r="U54">
        <f t="shared" si="11"/>
        <v>0.54289850655288019</v>
      </c>
    </row>
    <row r="55" spans="1:21" x14ac:dyDescent="0.2">
      <c r="A55">
        <v>517</v>
      </c>
      <c r="B55" s="22">
        <v>1</v>
      </c>
      <c r="C55" s="23">
        <v>9</v>
      </c>
      <c r="D55" s="19" t="s">
        <v>50</v>
      </c>
      <c r="M55" s="14">
        <f t="shared" si="4"/>
        <v>5.34</v>
      </c>
      <c r="N55" s="22">
        <f t="shared" si="12"/>
        <v>9.5245352026821078E-3</v>
      </c>
      <c r="O55" s="14">
        <f t="shared" si="6"/>
        <v>0.19289850655288016</v>
      </c>
      <c r="P55">
        <f t="shared" si="7"/>
        <v>0.54289850655288019</v>
      </c>
      <c r="R55" s="14">
        <f t="shared" si="8"/>
        <v>3.91</v>
      </c>
      <c r="S55" s="22">
        <f t="shared" si="9"/>
        <v>9.5245352026821078E-3</v>
      </c>
      <c r="T55">
        <f t="shared" si="10"/>
        <v>0.19289850655288016</v>
      </c>
      <c r="U55">
        <f t="shared" si="11"/>
        <v>0.54289850655288019</v>
      </c>
    </row>
    <row r="56" spans="1:21" x14ac:dyDescent="0.2">
      <c r="A56">
        <v>537</v>
      </c>
      <c r="B56" s="22">
        <v>1</v>
      </c>
      <c r="C56" s="23">
        <v>8.25</v>
      </c>
      <c r="D56" s="19"/>
      <c r="M56" s="14">
        <f t="shared" si="4"/>
        <v>5.54</v>
      </c>
      <c r="N56" s="22">
        <f t="shared" si="12"/>
        <v>2.8573605608046327E-2</v>
      </c>
      <c r="O56" s="14">
        <f t="shared" si="6"/>
        <v>0.19289850655288016</v>
      </c>
      <c r="P56">
        <f t="shared" si="7"/>
        <v>0.54289850655288019</v>
      </c>
      <c r="R56" s="14">
        <f t="shared" si="8"/>
        <v>3.71</v>
      </c>
      <c r="S56" s="22">
        <f t="shared" si="9"/>
        <v>2.8573605608046327E-2</v>
      </c>
      <c r="T56">
        <f t="shared" si="10"/>
        <v>0.19289850655288016</v>
      </c>
      <c r="U56">
        <f t="shared" si="11"/>
        <v>0.54289850655288019</v>
      </c>
    </row>
    <row r="57" spans="1:21" x14ac:dyDescent="0.2">
      <c r="A57">
        <v>557</v>
      </c>
      <c r="B57" s="22">
        <v>1</v>
      </c>
      <c r="C57" s="23">
        <v>8.75</v>
      </c>
      <c r="D57" s="19" t="s">
        <v>83</v>
      </c>
      <c r="M57" s="14">
        <f t="shared" si="4"/>
        <v>5.74</v>
      </c>
      <c r="N57" s="22">
        <f t="shared" si="12"/>
        <v>1.5874225337803558E-2</v>
      </c>
      <c r="O57" s="14">
        <f t="shared" si="6"/>
        <v>0.19289850655288016</v>
      </c>
      <c r="P57">
        <f t="shared" si="7"/>
        <v>0.54289850655288019</v>
      </c>
      <c r="R57" s="14">
        <f t="shared" si="8"/>
        <v>3.51</v>
      </c>
      <c r="S57" s="22">
        <f t="shared" si="9"/>
        <v>1.5874225337803558E-2</v>
      </c>
      <c r="T57">
        <f t="shared" si="10"/>
        <v>0.19289850655288016</v>
      </c>
      <c r="U57">
        <f t="shared" si="11"/>
        <v>0.54289850655288019</v>
      </c>
    </row>
    <row r="58" spans="1:21" x14ac:dyDescent="0.2">
      <c r="A58">
        <v>577</v>
      </c>
      <c r="B58" s="22">
        <v>1</v>
      </c>
      <c r="C58" s="23">
        <v>8.125</v>
      </c>
      <c r="D58" s="19"/>
      <c r="M58" s="14">
        <f t="shared" si="4"/>
        <v>5.94</v>
      </c>
      <c r="N58" s="22">
        <f t="shared" si="12"/>
        <v>3.1748450675606985E-2</v>
      </c>
      <c r="O58" s="14">
        <f t="shared" si="6"/>
        <v>0.19289850655288016</v>
      </c>
      <c r="P58">
        <f t="shared" si="7"/>
        <v>0.54289850655288019</v>
      </c>
      <c r="R58" s="14">
        <f t="shared" si="8"/>
        <v>3.3099999999999996</v>
      </c>
      <c r="S58" s="22">
        <f t="shared" si="9"/>
        <v>3.1748450675606985E-2</v>
      </c>
      <c r="T58">
        <f t="shared" si="10"/>
        <v>0.19289850655288016</v>
      </c>
      <c r="U58">
        <f t="shared" si="11"/>
        <v>0.54289850655288019</v>
      </c>
    </row>
    <row r="59" spans="1:21" x14ac:dyDescent="0.2">
      <c r="A59">
        <v>597</v>
      </c>
      <c r="B59" s="22">
        <v>1</v>
      </c>
      <c r="C59" s="23">
        <v>7.625</v>
      </c>
      <c r="D59" s="19"/>
      <c r="M59" s="14">
        <f t="shared" si="4"/>
        <v>6.14</v>
      </c>
      <c r="N59" s="22">
        <f t="shared" si="12"/>
        <v>4.4447830945849885E-2</v>
      </c>
      <c r="O59" s="14">
        <f t="shared" si="6"/>
        <v>0.19289850655288016</v>
      </c>
      <c r="P59">
        <f t="shared" si="7"/>
        <v>0.54289850655288019</v>
      </c>
      <c r="R59" s="14">
        <f t="shared" si="8"/>
        <v>3.1100000000000003</v>
      </c>
      <c r="S59" s="22">
        <f t="shared" si="9"/>
        <v>4.4447830945849885E-2</v>
      </c>
      <c r="T59">
        <f t="shared" si="10"/>
        <v>0.19289850655288016</v>
      </c>
      <c r="U59">
        <f t="shared" si="11"/>
        <v>0.54289850655288019</v>
      </c>
    </row>
    <row r="60" spans="1:21" x14ac:dyDescent="0.2">
      <c r="A60">
        <v>617</v>
      </c>
      <c r="B60" s="22">
        <v>1</v>
      </c>
      <c r="C60" s="23">
        <v>7.25</v>
      </c>
      <c r="D60" s="19"/>
      <c r="M60" s="14">
        <f t="shared" si="4"/>
        <v>6.34</v>
      </c>
      <c r="N60" s="22">
        <f t="shared" si="12"/>
        <v>5.3972366148531993E-2</v>
      </c>
      <c r="O60" s="14">
        <f t="shared" si="6"/>
        <v>0.19289850655288016</v>
      </c>
      <c r="P60">
        <f t="shared" si="7"/>
        <v>0.54289850655288019</v>
      </c>
      <c r="R60" s="14">
        <f t="shared" si="8"/>
        <v>2.91</v>
      </c>
      <c r="S60" s="22">
        <f t="shared" si="9"/>
        <v>5.3972366148531993E-2</v>
      </c>
      <c r="T60">
        <f t="shared" si="10"/>
        <v>0.19289850655288016</v>
      </c>
      <c r="U60">
        <f t="shared" si="11"/>
        <v>0.54289850655288019</v>
      </c>
    </row>
    <row r="61" spans="1:21" x14ac:dyDescent="0.2">
      <c r="A61">
        <v>637</v>
      </c>
      <c r="B61" s="22">
        <v>1</v>
      </c>
      <c r="C61" s="23">
        <v>7.25</v>
      </c>
      <c r="D61" s="19"/>
      <c r="M61" s="14">
        <f t="shared" si="4"/>
        <v>6.54</v>
      </c>
      <c r="N61" s="22">
        <f t="shared" si="12"/>
        <v>5.3972366148531993E-2</v>
      </c>
      <c r="O61" s="14">
        <f t="shared" si="6"/>
        <v>0.19289850655288016</v>
      </c>
      <c r="P61">
        <f t="shared" si="7"/>
        <v>0.54289850655288019</v>
      </c>
      <c r="R61" s="14">
        <f t="shared" si="8"/>
        <v>2.71</v>
      </c>
      <c r="S61" s="22">
        <f t="shared" si="9"/>
        <v>5.3972366148531993E-2</v>
      </c>
      <c r="T61">
        <f t="shared" si="10"/>
        <v>0.19289850655288016</v>
      </c>
      <c r="U61">
        <f t="shared" si="11"/>
        <v>0.54289850655288019</v>
      </c>
    </row>
    <row r="62" spans="1:21" x14ac:dyDescent="0.2">
      <c r="A62">
        <v>657</v>
      </c>
      <c r="B62" s="22">
        <v>1</v>
      </c>
      <c r="C62" s="23">
        <v>6.875</v>
      </c>
      <c r="D62" s="19"/>
      <c r="M62" s="14">
        <f t="shared" si="4"/>
        <v>6.74</v>
      </c>
      <c r="N62" s="22">
        <f t="shared" si="12"/>
        <v>6.3496901351214108E-2</v>
      </c>
      <c r="O62" s="14">
        <f t="shared" si="6"/>
        <v>0.19289850655288016</v>
      </c>
      <c r="P62">
        <f t="shared" si="7"/>
        <v>0.54289850655288019</v>
      </c>
      <c r="R62" s="14">
        <f t="shared" si="8"/>
        <v>2.5099999999999998</v>
      </c>
      <c r="S62" s="22">
        <f t="shared" si="9"/>
        <v>6.3496901351214108E-2</v>
      </c>
      <c r="T62">
        <f t="shared" si="10"/>
        <v>0.19289850655288016</v>
      </c>
      <c r="U62">
        <f t="shared" si="11"/>
        <v>0.54289850655288019</v>
      </c>
    </row>
    <row r="63" spans="1:21" x14ac:dyDescent="0.2">
      <c r="A63">
        <v>677</v>
      </c>
      <c r="B63" s="22">
        <v>1</v>
      </c>
      <c r="C63" s="23">
        <v>7</v>
      </c>
      <c r="D63" s="19"/>
      <c r="M63" s="14">
        <f t="shared" si="4"/>
        <v>6.94</v>
      </c>
      <c r="N63" s="22">
        <f t="shared" si="12"/>
        <v>6.0322056283653308E-2</v>
      </c>
      <c r="O63" s="14">
        <f t="shared" si="6"/>
        <v>0.19289850655288016</v>
      </c>
      <c r="P63">
        <f t="shared" si="7"/>
        <v>0.54289850655288019</v>
      </c>
      <c r="R63" s="14">
        <f t="shared" si="8"/>
        <v>2.3099999999999996</v>
      </c>
      <c r="S63" s="22">
        <f t="shared" si="9"/>
        <v>6.0322056283653308E-2</v>
      </c>
      <c r="T63">
        <f t="shared" si="10"/>
        <v>0.19289850655288016</v>
      </c>
      <c r="U63">
        <f t="shared" si="11"/>
        <v>0.54289850655288019</v>
      </c>
    </row>
    <row r="64" spans="1:21" x14ac:dyDescent="0.2">
      <c r="A64">
        <v>697</v>
      </c>
      <c r="B64" s="22">
        <v>1</v>
      </c>
      <c r="C64" s="23">
        <v>6.5</v>
      </c>
      <c r="D64" s="19"/>
      <c r="M64" s="14">
        <f t="shared" si="4"/>
        <v>7.14</v>
      </c>
      <c r="N64" s="22">
        <f t="shared" si="12"/>
        <v>7.3021436553896216E-2</v>
      </c>
      <c r="O64" s="14">
        <f t="shared" si="6"/>
        <v>0.19289850655288016</v>
      </c>
      <c r="P64">
        <f t="shared" si="7"/>
        <v>0.54289850655288019</v>
      </c>
      <c r="R64" s="14">
        <f t="shared" si="8"/>
        <v>2.1100000000000003</v>
      </c>
      <c r="S64" s="22">
        <f t="shared" si="9"/>
        <v>7.3021436553896216E-2</v>
      </c>
      <c r="T64">
        <f t="shared" si="10"/>
        <v>0.19289850655288016</v>
      </c>
      <c r="U64">
        <f t="shared" si="11"/>
        <v>0.54289850655288019</v>
      </c>
    </row>
    <row r="65" spans="1:21" x14ac:dyDescent="0.2">
      <c r="A65">
        <v>717</v>
      </c>
      <c r="B65" s="22">
        <v>1</v>
      </c>
      <c r="C65" s="23">
        <v>5.625</v>
      </c>
      <c r="D65" s="19" t="s">
        <v>84</v>
      </c>
      <c r="M65" s="14">
        <f t="shared" si="4"/>
        <v>7.34</v>
      </c>
      <c r="N65" s="22">
        <f t="shared" si="12"/>
        <v>9.5245352026821092E-2</v>
      </c>
      <c r="O65" s="14">
        <f t="shared" si="6"/>
        <v>0.19289850655288016</v>
      </c>
      <c r="P65">
        <f t="shared" si="7"/>
        <v>0.54289850655288019</v>
      </c>
      <c r="R65" s="14">
        <f t="shared" si="8"/>
        <v>1.9100000000000001</v>
      </c>
      <c r="S65" s="22">
        <f t="shared" si="9"/>
        <v>9.5245352026821092E-2</v>
      </c>
      <c r="T65">
        <f t="shared" si="10"/>
        <v>0.19289850655288016</v>
      </c>
      <c r="U65">
        <f t="shared" si="11"/>
        <v>0.54289850655288019</v>
      </c>
    </row>
    <row r="66" spans="1:21" x14ac:dyDescent="0.2">
      <c r="A66">
        <v>737</v>
      </c>
      <c r="B66" s="22">
        <v>1</v>
      </c>
      <c r="C66" s="23">
        <v>5.5</v>
      </c>
      <c r="D66" s="19" t="s">
        <v>85</v>
      </c>
      <c r="M66" s="14">
        <f t="shared" si="4"/>
        <v>7.54</v>
      </c>
      <c r="N66" s="22">
        <f t="shared" si="12"/>
        <v>9.8420197094381809E-2</v>
      </c>
      <c r="O66" s="14">
        <f t="shared" si="6"/>
        <v>0.19289850655288016</v>
      </c>
      <c r="P66">
        <f t="shared" si="7"/>
        <v>0.54289850655288019</v>
      </c>
      <c r="R66" s="14">
        <f t="shared" si="8"/>
        <v>1.71</v>
      </c>
      <c r="S66" s="22">
        <f t="shared" si="9"/>
        <v>9.8420197094381809E-2</v>
      </c>
      <c r="T66">
        <f t="shared" si="10"/>
        <v>0.19289850655288016</v>
      </c>
      <c r="U66">
        <f t="shared" si="11"/>
        <v>0.54289850655288019</v>
      </c>
    </row>
    <row r="67" spans="1:21" x14ac:dyDescent="0.2">
      <c r="A67">
        <v>757</v>
      </c>
      <c r="B67" s="22">
        <v>1</v>
      </c>
      <c r="C67" s="23">
        <v>3.5</v>
      </c>
      <c r="D67" s="19" t="s">
        <v>85</v>
      </c>
      <c r="M67" s="14">
        <f t="shared" si="4"/>
        <v>7.74</v>
      </c>
      <c r="N67" s="22">
        <f t="shared" si="12"/>
        <v>0.14921771817535301</v>
      </c>
      <c r="O67" s="14">
        <f t="shared" si="6"/>
        <v>0.19289850655288016</v>
      </c>
      <c r="P67">
        <f t="shared" si="7"/>
        <v>0.54289850655288019</v>
      </c>
      <c r="R67" s="14">
        <f t="shared" si="8"/>
        <v>1.5099999999999998</v>
      </c>
      <c r="S67" s="22">
        <f t="shared" si="9"/>
        <v>0.14921771817535301</v>
      </c>
      <c r="T67">
        <f t="shared" si="10"/>
        <v>0.19289850655288016</v>
      </c>
      <c r="U67">
        <f t="shared" si="11"/>
        <v>0.54289850655288019</v>
      </c>
    </row>
    <row r="68" spans="1:21" x14ac:dyDescent="0.2">
      <c r="A68">
        <v>777</v>
      </c>
      <c r="B68" s="22">
        <v>1</v>
      </c>
      <c r="C68" s="23">
        <v>2.875</v>
      </c>
      <c r="D68" s="19" t="s">
        <v>85</v>
      </c>
      <c r="M68" s="14">
        <f t="shared" si="4"/>
        <v>7.94</v>
      </c>
      <c r="N68" s="22">
        <f t="shared" si="12"/>
        <v>0.16509194351315656</v>
      </c>
      <c r="O68" s="14">
        <f t="shared" si="6"/>
        <v>0.19289850655288016</v>
      </c>
      <c r="P68">
        <f t="shared" si="7"/>
        <v>0.54289850655288019</v>
      </c>
      <c r="R68" s="14">
        <f t="shared" si="8"/>
        <v>1.3099999999999996</v>
      </c>
      <c r="S68" s="22">
        <f t="shared" si="9"/>
        <v>0.16509194351315656</v>
      </c>
      <c r="T68">
        <f t="shared" si="10"/>
        <v>0.19289850655288016</v>
      </c>
      <c r="U68">
        <f t="shared" si="11"/>
        <v>0.54289850655288019</v>
      </c>
    </row>
    <row r="69" spans="1:21" x14ac:dyDescent="0.2">
      <c r="A69">
        <v>797</v>
      </c>
      <c r="B69" s="22">
        <v>1</v>
      </c>
      <c r="C69" s="23">
        <v>0.125</v>
      </c>
      <c r="D69" s="19" t="s">
        <v>85</v>
      </c>
      <c r="M69" s="14">
        <f t="shared" si="4"/>
        <v>8.14</v>
      </c>
      <c r="N69" s="22">
        <f t="shared" si="12"/>
        <v>0.23493853499949199</v>
      </c>
      <c r="O69" s="14">
        <f t="shared" si="6"/>
        <v>0.19289850655288016</v>
      </c>
      <c r="P69">
        <f t="shared" si="7"/>
        <v>0.54289850655288019</v>
      </c>
      <c r="R69" s="14">
        <f t="shared" si="8"/>
        <v>1.1099999999999994</v>
      </c>
      <c r="S69" s="22">
        <f t="shared" si="9"/>
        <v>0.23493853499949199</v>
      </c>
      <c r="T69">
        <f t="shared" si="10"/>
        <v>0.19289850655288016</v>
      </c>
      <c r="U69">
        <f t="shared" si="11"/>
        <v>0.54289850655288019</v>
      </c>
    </row>
    <row r="70" spans="1:21" x14ac:dyDescent="0.2">
      <c r="A70">
        <v>817</v>
      </c>
      <c r="B70" s="22">
        <v>0</v>
      </c>
      <c r="C70" s="23">
        <v>8.375</v>
      </c>
      <c r="D70" s="19"/>
      <c r="M70" s="14">
        <f t="shared" si="4"/>
        <v>8.34</v>
      </c>
      <c r="N70" s="22">
        <f t="shared" si="12"/>
        <v>0.33018388702631313</v>
      </c>
      <c r="O70" s="14">
        <f t="shared" si="6"/>
        <v>0.19289850655288016</v>
      </c>
      <c r="P70">
        <f t="shared" si="7"/>
        <v>0.54289850655288019</v>
      </c>
      <c r="R70" s="14">
        <f t="shared" si="8"/>
        <v>0.91000000000000014</v>
      </c>
      <c r="S70" s="22">
        <f t="shared" si="9"/>
        <v>0.33018388702631313</v>
      </c>
      <c r="T70">
        <f t="shared" si="10"/>
        <v>0.19289850655288016</v>
      </c>
      <c r="U70">
        <f t="shared" si="11"/>
        <v>0.54289850655288019</v>
      </c>
    </row>
    <row r="71" spans="1:21" x14ac:dyDescent="0.2">
      <c r="A71" s="20">
        <v>837</v>
      </c>
      <c r="B71" s="22">
        <v>0</v>
      </c>
      <c r="C71" s="23">
        <v>4.875</v>
      </c>
      <c r="D71" s="19" t="s">
        <v>86</v>
      </c>
      <c r="M71" s="21">
        <f t="shared" si="4"/>
        <v>8.5399999999999991</v>
      </c>
      <c r="N71" s="22">
        <f t="shared" si="12"/>
        <v>0.4190795489180128</v>
      </c>
      <c r="O71" s="14">
        <f t="shared" si="6"/>
        <v>0.19289850655288016</v>
      </c>
      <c r="P71">
        <f t="shared" si="7"/>
        <v>0.54289850655288019</v>
      </c>
      <c r="R71" s="21">
        <f t="shared" si="8"/>
        <v>0.71000000000000085</v>
      </c>
      <c r="S71" s="22">
        <f t="shared" si="9"/>
        <v>0.4190795489180128</v>
      </c>
      <c r="T71">
        <f t="shared" si="10"/>
        <v>0.19289850655288016</v>
      </c>
      <c r="U71">
        <f t="shared" si="11"/>
        <v>0.54289850655288019</v>
      </c>
    </row>
    <row r="72" spans="1:21" x14ac:dyDescent="0.2">
      <c r="A72" s="20">
        <v>837</v>
      </c>
      <c r="B72" s="15">
        <v>3</v>
      </c>
      <c r="C72" s="16">
        <v>5.125</v>
      </c>
      <c r="D72" s="19" t="s">
        <v>80</v>
      </c>
      <c r="M72" s="21">
        <f t="shared" si="4"/>
        <v>8.5399999999999991</v>
      </c>
      <c r="N72" s="15">
        <f t="shared" ref="N72:N77" si="13">($J$27+$K$27-(B72+C72/12))/3.281</f>
        <v>0.41907954891801291</v>
      </c>
      <c r="O72" s="14">
        <f t="shared" si="6"/>
        <v>0.19289850655288016</v>
      </c>
      <c r="P72">
        <f t="shared" si="7"/>
        <v>0.54289850655288019</v>
      </c>
      <c r="R72" s="21">
        <f t="shared" si="8"/>
        <v>0.71000000000000085</v>
      </c>
      <c r="S72" s="15">
        <f t="shared" si="9"/>
        <v>0.41907954891801291</v>
      </c>
      <c r="T72">
        <f t="shared" si="10"/>
        <v>0.19289850655288016</v>
      </c>
      <c r="U72">
        <f t="shared" si="11"/>
        <v>0.54289850655288019</v>
      </c>
    </row>
    <row r="73" spans="1:21" x14ac:dyDescent="0.2">
      <c r="A73">
        <v>841</v>
      </c>
      <c r="B73" s="15">
        <v>2</v>
      </c>
      <c r="C73" s="16">
        <v>11.75</v>
      </c>
      <c r="D73" s="19"/>
      <c r="M73" s="14">
        <f t="shared" si="4"/>
        <v>8.58</v>
      </c>
      <c r="N73" s="15">
        <f t="shared" si="13"/>
        <v>0.55559788682312328</v>
      </c>
      <c r="O73" s="14">
        <f t="shared" si="6"/>
        <v>0.19289850655288016</v>
      </c>
      <c r="P73">
        <f t="shared" si="7"/>
        <v>0.54289850655288019</v>
      </c>
      <c r="R73" s="14">
        <f t="shared" si="8"/>
        <v>0.66999999999999993</v>
      </c>
      <c r="S73" s="15">
        <f t="shared" si="9"/>
        <v>0.55559788682312328</v>
      </c>
      <c r="T73">
        <f t="shared" si="10"/>
        <v>0.19289850655288016</v>
      </c>
      <c r="U73">
        <f t="shared" si="11"/>
        <v>0.54289850655288019</v>
      </c>
    </row>
    <row r="74" spans="1:21" x14ac:dyDescent="0.2">
      <c r="A74">
        <v>861</v>
      </c>
      <c r="B74" s="15">
        <v>1</v>
      </c>
      <c r="C74" s="16">
        <v>6.25</v>
      </c>
      <c r="D74" s="19"/>
      <c r="M74" s="14">
        <f t="shared" si="4"/>
        <v>8.7799999999999994</v>
      </c>
      <c r="N74" s="15">
        <f t="shared" si="13"/>
        <v>1.0000761962816216</v>
      </c>
      <c r="O74" s="14">
        <f t="shared" si="6"/>
        <v>0.19289850655288016</v>
      </c>
      <c r="P74">
        <f t="shared" si="7"/>
        <v>0.54289850655288019</v>
      </c>
      <c r="R74" s="14">
        <f t="shared" si="8"/>
        <v>0.47000000000000064</v>
      </c>
      <c r="S74" s="15">
        <f t="shared" si="9"/>
        <v>1.0000761962816216</v>
      </c>
      <c r="T74">
        <f t="shared" si="10"/>
        <v>0.19289850655288016</v>
      </c>
      <c r="U74">
        <f t="shared" si="11"/>
        <v>0.54289850655288019</v>
      </c>
    </row>
    <row r="75" spans="1:21" x14ac:dyDescent="0.2">
      <c r="A75">
        <v>881</v>
      </c>
      <c r="B75" s="15">
        <v>0</v>
      </c>
      <c r="C75" s="16">
        <v>10.75</v>
      </c>
      <c r="D75" s="19"/>
      <c r="M75" s="14">
        <f t="shared" si="4"/>
        <v>8.98</v>
      </c>
      <c r="N75" s="15">
        <f t="shared" si="13"/>
        <v>1.1905669003352637</v>
      </c>
      <c r="O75" s="14">
        <f t="shared" si="6"/>
        <v>0.19289850655288016</v>
      </c>
      <c r="P75">
        <f t="shared" si="7"/>
        <v>0.54289850655288019</v>
      </c>
      <c r="R75" s="14">
        <f t="shared" si="8"/>
        <v>0.26999999999999957</v>
      </c>
      <c r="S75" s="15">
        <f t="shared" si="9"/>
        <v>1.1905669003352637</v>
      </c>
      <c r="T75">
        <f t="shared" si="10"/>
        <v>0.19289850655288016</v>
      </c>
      <c r="U75">
        <f t="shared" si="11"/>
        <v>0.54289850655288019</v>
      </c>
    </row>
    <row r="76" spans="1:21" x14ac:dyDescent="0.2">
      <c r="A76">
        <v>901</v>
      </c>
      <c r="B76" s="15">
        <v>0</v>
      </c>
      <c r="C76" s="16">
        <v>3.625</v>
      </c>
      <c r="D76" s="19"/>
      <c r="M76" s="14">
        <f t="shared" si="4"/>
        <v>9.18</v>
      </c>
      <c r="N76" s="15">
        <f t="shared" si="13"/>
        <v>1.371533069186224</v>
      </c>
      <c r="O76" s="14">
        <f t="shared" si="6"/>
        <v>0.19289850655288016</v>
      </c>
      <c r="P76">
        <f t="shared" si="7"/>
        <v>0.54289850655288019</v>
      </c>
      <c r="R76" s="14">
        <f t="shared" si="8"/>
        <v>7.0000000000000284E-2</v>
      </c>
      <c r="S76" s="15">
        <f t="shared" si="9"/>
        <v>1.371533069186224</v>
      </c>
      <c r="T76">
        <f t="shared" si="10"/>
        <v>0.19289850655288016</v>
      </c>
      <c r="U76">
        <f t="shared" si="11"/>
        <v>0.54289850655288019</v>
      </c>
    </row>
    <row r="77" spans="1:21" x14ac:dyDescent="0.2">
      <c r="A77">
        <v>908</v>
      </c>
      <c r="B77" s="15">
        <v>0</v>
      </c>
      <c r="C77" s="16">
        <v>0</v>
      </c>
      <c r="D77" s="19" t="s">
        <v>87</v>
      </c>
      <c r="M77" s="14">
        <f t="shared" si="4"/>
        <v>9.25</v>
      </c>
      <c r="N77" s="15">
        <f t="shared" si="13"/>
        <v>1.4636035761454842</v>
      </c>
      <c r="O77" s="14">
        <f t="shared" si="6"/>
        <v>0.19289850655288016</v>
      </c>
      <c r="P77">
        <f t="shared" si="7"/>
        <v>0.54289850655288019</v>
      </c>
      <c r="R77" s="14">
        <f t="shared" si="8"/>
        <v>0</v>
      </c>
      <c r="S77" s="15">
        <f t="shared" si="9"/>
        <v>1.4636035761454842</v>
      </c>
      <c r="T77">
        <f t="shared" si="10"/>
        <v>0.19289850655288016</v>
      </c>
      <c r="U77">
        <f t="shared" si="11"/>
        <v>0.54289850655288019</v>
      </c>
    </row>
    <row r="78" spans="1:21" x14ac:dyDescent="0.2">
      <c r="C78" s="13"/>
      <c r="D78" s="19"/>
      <c r="M78" s="14"/>
      <c r="O78" s="14"/>
    </row>
    <row r="79" spans="1:21" x14ac:dyDescent="0.2">
      <c r="C79" s="13"/>
      <c r="D79" s="19"/>
      <c r="M79" s="14"/>
      <c r="O79" s="14"/>
    </row>
    <row r="80" spans="1:21" x14ac:dyDescent="0.2">
      <c r="C80" s="13"/>
      <c r="D80" s="19"/>
      <c r="M80" s="14"/>
      <c r="O80" s="14"/>
    </row>
    <row r="81" spans="3:15" x14ac:dyDescent="0.2">
      <c r="C81" s="13"/>
      <c r="D81" s="19"/>
      <c r="M81" s="14"/>
      <c r="O81" s="14"/>
    </row>
    <row r="82" spans="3:15" x14ac:dyDescent="0.2">
      <c r="C82" s="13"/>
      <c r="D82" s="19"/>
      <c r="O82" s="14"/>
    </row>
    <row r="83" spans="3:15" x14ac:dyDescent="0.2">
      <c r="C83" s="13"/>
      <c r="D83" s="19"/>
      <c r="O83" s="14"/>
    </row>
    <row r="84" spans="3:15" x14ac:dyDescent="0.2">
      <c r="C84" s="13"/>
      <c r="O84" s="14"/>
    </row>
    <row r="85" spans="3:15" x14ac:dyDescent="0.2">
      <c r="C85" s="13"/>
      <c r="O85" s="14"/>
    </row>
    <row r="86" spans="3:15" x14ac:dyDescent="0.2">
      <c r="C86" s="13"/>
      <c r="O86" s="14"/>
    </row>
    <row r="87" spans="3:15" x14ac:dyDescent="0.2">
      <c r="C87" s="13"/>
      <c r="O87" s="14"/>
    </row>
    <row r="88" spans="3:15" x14ac:dyDescent="0.2">
      <c r="C88" s="13"/>
      <c r="O88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6F4C-0253-6A46-BD70-BF0E60AF6F1D}">
  <dimension ref="A1:C52"/>
  <sheetViews>
    <sheetView workbookViewId="0">
      <selection activeCell="B24" sqref="B24"/>
    </sheetView>
  </sheetViews>
  <sheetFormatPr baseColWidth="10" defaultRowHeight="14" x14ac:dyDescent="0.2"/>
  <sheetData>
    <row r="1" spans="1:3" ht="16" x14ac:dyDescent="0.2">
      <c r="A1" s="1" t="s">
        <v>47</v>
      </c>
      <c r="B1" s="1" t="s">
        <v>48</v>
      </c>
      <c r="C1" s="1" t="s">
        <v>51</v>
      </c>
    </row>
    <row r="2" spans="1:3" x14ac:dyDescent="0.2">
      <c r="A2" s="27">
        <v>9.25</v>
      </c>
      <c r="B2" s="28">
        <v>1.4858274899999999</v>
      </c>
      <c r="C2" s="28">
        <v>0.19289851</v>
      </c>
    </row>
    <row r="3" spans="1:3" x14ac:dyDescent="0.2">
      <c r="A3" s="27">
        <v>9.08</v>
      </c>
      <c r="B3" s="28">
        <v>1.4763029599999999</v>
      </c>
      <c r="C3" s="28">
        <v>0.19289851</v>
      </c>
    </row>
    <row r="4" spans="1:3" x14ac:dyDescent="0.2">
      <c r="A4" s="27">
        <v>8.8800000000000008</v>
      </c>
      <c r="B4" s="28">
        <v>1.46995327</v>
      </c>
      <c r="C4" s="28">
        <v>0.19289851</v>
      </c>
    </row>
    <row r="5" spans="1:3" x14ac:dyDescent="0.2">
      <c r="A5" s="27">
        <v>8.68</v>
      </c>
      <c r="B5" s="28">
        <v>1.4509042000000001</v>
      </c>
      <c r="C5" s="28">
        <v>0.19289851</v>
      </c>
    </row>
    <row r="6" spans="1:3" x14ac:dyDescent="0.2">
      <c r="A6" s="27">
        <v>8.48</v>
      </c>
      <c r="B6" s="28">
        <v>1.4223305900000001</v>
      </c>
      <c r="C6" s="28">
        <v>0.19289851</v>
      </c>
    </row>
    <row r="7" spans="1:3" x14ac:dyDescent="0.2">
      <c r="A7" s="27">
        <v>8.2799999999999994</v>
      </c>
      <c r="B7" s="28">
        <v>1.4223305900000001</v>
      </c>
      <c r="C7" s="28">
        <v>0.19289851</v>
      </c>
    </row>
    <row r="8" spans="1:3" x14ac:dyDescent="0.2">
      <c r="A8" s="27">
        <v>8.08</v>
      </c>
      <c r="B8" s="28">
        <v>1.42550544</v>
      </c>
      <c r="C8" s="28">
        <v>0.19289851</v>
      </c>
    </row>
    <row r="9" spans="1:3" x14ac:dyDescent="0.2">
      <c r="A9" s="27">
        <v>7.88</v>
      </c>
      <c r="B9" s="28">
        <v>1.3874072900000001</v>
      </c>
      <c r="C9" s="28">
        <v>0.19289851</v>
      </c>
    </row>
    <row r="10" spans="1:3" x14ac:dyDescent="0.2">
      <c r="A10" s="27">
        <v>7.68</v>
      </c>
      <c r="B10" s="28">
        <v>1.2889870999999999</v>
      </c>
      <c r="C10" s="28">
        <v>0.19289851</v>
      </c>
    </row>
    <row r="11" spans="1:3" x14ac:dyDescent="0.2">
      <c r="A11" s="27">
        <v>7.48</v>
      </c>
      <c r="B11" s="28">
        <v>1.06039825</v>
      </c>
      <c r="C11" s="28">
        <v>0.19289851</v>
      </c>
    </row>
    <row r="12" spans="1:3" x14ac:dyDescent="0.2">
      <c r="A12" s="27">
        <v>7.28</v>
      </c>
      <c r="B12" s="28">
        <v>0.84768363000000002</v>
      </c>
      <c r="C12" s="28">
        <v>0.19289851</v>
      </c>
    </row>
    <row r="13" spans="1:3" x14ac:dyDescent="0.2">
      <c r="A13" s="27">
        <v>7.08</v>
      </c>
      <c r="B13" s="28">
        <v>0.66354261999999997</v>
      </c>
      <c r="C13" s="28">
        <v>0.19289851</v>
      </c>
    </row>
    <row r="14" spans="1:3" x14ac:dyDescent="0.2">
      <c r="A14" s="27">
        <v>6.91</v>
      </c>
      <c r="B14" s="28">
        <v>0.27621151999999999</v>
      </c>
      <c r="C14" s="28">
        <v>0.19289851</v>
      </c>
    </row>
    <row r="15" spans="1:3" x14ac:dyDescent="0.2">
      <c r="A15" s="27">
        <v>6.91</v>
      </c>
      <c r="B15" s="28">
        <v>0.27621151999999999</v>
      </c>
      <c r="C15" s="28">
        <v>0.19289851</v>
      </c>
    </row>
    <row r="16" spans="1:3" x14ac:dyDescent="0.2">
      <c r="A16" s="27">
        <v>6.71</v>
      </c>
      <c r="B16" s="28">
        <v>0.15556740999999999</v>
      </c>
      <c r="C16" s="28">
        <v>0.19289851</v>
      </c>
    </row>
    <row r="17" spans="1:3" x14ac:dyDescent="0.2">
      <c r="A17" s="27">
        <v>6.51</v>
      </c>
      <c r="B17" s="28">
        <v>8.2545969999999996E-2</v>
      </c>
      <c r="C17" s="28">
        <v>0.19289851</v>
      </c>
    </row>
    <row r="18" spans="1:3" x14ac:dyDescent="0.2">
      <c r="A18" s="27">
        <v>6.31</v>
      </c>
      <c r="B18" s="28">
        <v>6.6671750000000002E-2</v>
      </c>
      <c r="C18" s="28">
        <v>0.19289851</v>
      </c>
    </row>
    <row r="19" spans="1:3" x14ac:dyDescent="0.2">
      <c r="A19" s="27">
        <v>6.11</v>
      </c>
      <c r="B19" s="28">
        <v>4.4447830000000001E-2</v>
      </c>
      <c r="C19" s="28">
        <v>0.19289851</v>
      </c>
    </row>
    <row r="20" spans="1:3" x14ac:dyDescent="0.2">
      <c r="A20" s="27">
        <v>5.91</v>
      </c>
      <c r="B20" s="28">
        <v>3.1748449999999998E-2</v>
      </c>
      <c r="C20" s="28">
        <v>0.19289851</v>
      </c>
    </row>
    <row r="21" spans="1:3" x14ac:dyDescent="0.2">
      <c r="A21" s="27">
        <v>5.71</v>
      </c>
      <c r="B21" s="28">
        <v>1.269938E-2</v>
      </c>
      <c r="C21" s="28">
        <v>0.19289851</v>
      </c>
    </row>
    <row r="22" spans="1:3" x14ac:dyDescent="0.2">
      <c r="A22" s="27">
        <v>5.51</v>
      </c>
      <c r="B22" s="28">
        <v>0</v>
      </c>
      <c r="C22" s="28">
        <v>0.19289851</v>
      </c>
    </row>
    <row r="23" spans="1:3" x14ac:dyDescent="0.2">
      <c r="A23" s="27">
        <v>5.31</v>
      </c>
      <c r="B23" s="28">
        <v>3.1748499999999999E-3</v>
      </c>
      <c r="C23" s="28">
        <v>0.19289851</v>
      </c>
    </row>
    <row r="24" spans="1:3" x14ac:dyDescent="0.2">
      <c r="A24" s="27">
        <v>5.1100000000000003</v>
      </c>
      <c r="B24" s="28">
        <v>9.5245399999999997E-3</v>
      </c>
      <c r="C24" s="28">
        <v>0.19289851</v>
      </c>
    </row>
    <row r="25" spans="1:3" x14ac:dyDescent="0.2">
      <c r="A25" s="27">
        <v>4.91</v>
      </c>
      <c r="B25" s="28">
        <v>6.3496899999999998E-3</v>
      </c>
      <c r="C25" s="28">
        <v>0.19289851</v>
      </c>
    </row>
    <row r="26" spans="1:3" x14ac:dyDescent="0.2">
      <c r="A26" s="27">
        <v>4.71</v>
      </c>
      <c r="B26" s="28">
        <v>1.269938E-2</v>
      </c>
      <c r="C26" s="28">
        <v>0.19289851</v>
      </c>
    </row>
    <row r="27" spans="1:3" x14ac:dyDescent="0.2">
      <c r="A27" s="27">
        <v>4.51</v>
      </c>
      <c r="B27" s="28">
        <v>9.5245399999999997E-3</v>
      </c>
      <c r="C27" s="28">
        <v>0.19289851</v>
      </c>
    </row>
    <row r="28" spans="1:3" x14ac:dyDescent="0.2">
      <c r="A28" s="27">
        <v>4.3099999999999996</v>
      </c>
      <c r="B28" s="28">
        <v>9.5245399999999997E-3</v>
      </c>
      <c r="C28" s="28">
        <v>0.19289851</v>
      </c>
    </row>
    <row r="29" spans="1:3" x14ac:dyDescent="0.2">
      <c r="A29" s="27">
        <v>4.1100000000000003</v>
      </c>
      <c r="B29" s="28">
        <v>1.269938E-2</v>
      </c>
      <c r="C29" s="28">
        <v>0.19289851</v>
      </c>
    </row>
    <row r="30" spans="1:3" x14ac:dyDescent="0.2">
      <c r="A30" s="27">
        <v>3.91</v>
      </c>
      <c r="B30" s="28">
        <v>9.5245399999999997E-3</v>
      </c>
      <c r="C30" s="28">
        <v>0.19289851</v>
      </c>
    </row>
    <row r="31" spans="1:3" x14ac:dyDescent="0.2">
      <c r="A31" s="27">
        <v>3.71</v>
      </c>
      <c r="B31" s="28">
        <v>2.8573609999999999E-2</v>
      </c>
      <c r="C31" s="28">
        <v>0.19289851</v>
      </c>
    </row>
    <row r="32" spans="1:3" x14ac:dyDescent="0.2">
      <c r="A32" s="27">
        <v>3.51</v>
      </c>
      <c r="B32" s="28">
        <v>1.587423E-2</v>
      </c>
      <c r="C32" s="28">
        <v>0.19289851</v>
      </c>
    </row>
    <row r="33" spans="1:3" x14ac:dyDescent="0.2">
      <c r="A33" s="27">
        <v>3.31</v>
      </c>
      <c r="B33" s="28">
        <v>3.1748449999999998E-2</v>
      </c>
      <c r="C33" s="28">
        <v>0.19289851</v>
      </c>
    </row>
    <row r="34" spans="1:3" x14ac:dyDescent="0.2">
      <c r="A34" s="27">
        <v>3.11</v>
      </c>
      <c r="B34" s="28">
        <v>4.4447830000000001E-2</v>
      </c>
      <c r="C34" s="28">
        <v>0.19289851</v>
      </c>
    </row>
    <row r="35" spans="1:3" x14ac:dyDescent="0.2">
      <c r="A35" s="27">
        <v>2.91</v>
      </c>
      <c r="B35" s="28">
        <v>5.3972369999999999E-2</v>
      </c>
      <c r="C35" s="28">
        <v>0.19289851</v>
      </c>
    </row>
    <row r="36" spans="1:3" x14ac:dyDescent="0.2">
      <c r="A36" s="27">
        <v>2.71</v>
      </c>
      <c r="B36" s="28">
        <v>5.3972369999999999E-2</v>
      </c>
      <c r="C36" s="28">
        <v>0.19289851</v>
      </c>
    </row>
    <row r="37" spans="1:3" x14ac:dyDescent="0.2">
      <c r="A37" s="27">
        <v>2.5099999999999998</v>
      </c>
      <c r="B37" s="28">
        <v>6.3496899999999995E-2</v>
      </c>
      <c r="C37" s="28">
        <v>0.19289851</v>
      </c>
    </row>
    <row r="38" spans="1:3" x14ac:dyDescent="0.2">
      <c r="A38" s="27">
        <v>2.31</v>
      </c>
      <c r="B38" s="28">
        <v>6.0322059999999997E-2</v>
      </c>
      <c r="C38" s="28">
        <v>0.19289851</v>
      </c>
    </row>
    <row r="39" spans="1:3" x14ac:dyDescent="0.2">
      <c r="A39" s="27">
        <v>2.11</v>
      </c>
      <c r="B39" s="28">
        <v>7.3021440000000007E-2</v>
      </c>
      <c r="C39" s="28">
        <v>0.19289851</v>
      </c>
    </row>
    <row r="40" spans="1:3" x14ac:dyDescent="0.2">
      <c r="A40" s="27">
        <v>1.91</v>
      </c>
      <c r="B40" s="28">
        <v>9.5245350000000006E-2</v>
      </c>
      <c r="C40" s="28">
        <v>0.19289851</v>
      </c>
    </row>
    <row r="41" spans="1:3" x14ac:dyDescent="0.2">
      <c r="A41" s="27">
        <v>1.71</v>
      </c>
      <c r="B41" s="28">
        <v>9.8420199999999999E-2</v>
      </c>
      <c r="C41" s="28">
        <v>0.19289851</v>
      </c>
    </row>
    <row r="42" spans="1:3" x14ac:dyDescent="0.2">
      <c r="A42" s="27">
        <v>1.51</v>
      </c>
      <c r="B42" s="28">
        <v>0.14921772</v>
      </c>
      <c r="C42" s="28">
        <v>0.19289851</v>
      </c>
    </row>
    <row r="43" spans="1:3" x14ac:dyDescent="0.2">
      <c r="A43" s="27">
        <v>1.31</v>
      </c>
      <c r="B43" s="28">
        <v>0.16509193999999999</v>
      </c>
      <c r="C43" s="28">
        <v>0.19289851</v>
      </c>
    </row>
    <row r="44" spans="1:3" x14ac:dyDescent="0.2">
      <c r="A44" s="27">
        <v>1.1100000000000001</v>
      </c>
      <c r="B44" s="28">
        <v>0.23493853000000001</v>
      </c>
      <c r="C44" s="28">
        <v>0.19289851</v>
      </c>
    </row>
    <row r="45" spans="1:3" x14ac:dyDescent="0.2">
      <c r="A45" s="27">
        <v>0.91</v>
      </c>
      <c r="B45" s="28">
        <v>0.33018388999999998</v>
      </c>
      <c r="C45" s="28">
        <v>0.19289851</v>
      </c>
    </row>
    <row r="46" spans="1:3" x14ac:dyDescent="0.2">
      <c r="A46" s="27">
        <v>0.71</v>
      </c>
      <c r="B46" s="28">
        <v>0.41907955000000002</v>
      </c>
      <c r="C46" s="28">
        <v>0.19289851</v>
      </c>
    </row>
    <row r="47" spans="1:3" x14ac:dyDescent="0.2">
      <c r="A47" s="27">
        <v>0.71</v>
      </c>
      <c r="B47" s="28">
        <v>0.41907955000000002</v>
      </c>
      <c r="C47" s="28">
        <v>0.19289851</v>
      </c>
    </row>
    <row r="48" spans="1:3" x14ac:dyDescent="0.2">
      <c r="A48" s="27">
        <v>0.67</v>
      </c>
      <c r="B48" s="28">
        <v>0.55559789000000004</v>
      </c>
      <c r="C48" s="28">
        <v>0.19289851</v>
      </c>
    </row>
    <row r="49" spans="1:3" x14ac:dyDescent="0.2">
      <c r="A49" s="27">
        <v>0.47</v>
      </c>
      <c r="B49" s="28">
        <v>1.0000762000000001</v>
      </c>
      <c r="C49" s="28">
        <v>0.19289851</v>
      </c>
    </row>
    <row r="50" spans="1:3" x14ac:dyDescent="0.2">
      <c r="A50" s="27">
        <v>0.27</v>
      </c>
      <c r="B50" s="28">
        <v>1.1905669000000001</v>
      </c>
      <c r="C50" s="28">
        <v>0.19289851</v>
      </c>
    </row>
    <row r="51" spans="1:3" x14ac:dyDescent="0.2">
      <c r="A51" s="27">
        <v>7.0000000000000007E-2</v>
      </c>
      <c r="B51" s="28">
        <v>1.3715330699999999</v>
      </c>
      <c r="C51" s="28">
        <v>0.19289851</v>
      </c>
    </row>
    <row r="52" spans="1:3" x14ac:dyDescent="0.2">
      <c r="A52" s="27">
        <v>0</v>
      </c>
      <c r="B52" s="28">
        <v>1.46360358</v>
      </c>
      <c r="C52" s="28">
        <v>0.19289851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erosion</vt:lpstr>
      <vt:lpstr>checktimes_HOBO</vt:lpstr>
      <vt:lpstr>XS_8</vt:lpstr>
      <vt:lpstr>XS_csv</vt:lpstr>
      <vt:lpstr>checktimes_HOBO!_20240208_20240410_HOBOchecks_9</vt:lpstr>
      <vt:lpstr>checktimes_HOBO!_20241218_20250206_HOBOchecks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Kraus, Sam</cp:lastModifiedBy>
  <dcterms:created xsi:type="dcterms:W3CDTF">2025-08-17T20:50:50Z</dcterms:created>
  <dcterms:modified xsi:type="dcterms:W3CDTF">2025-09-04T22:12:43Z</dcterms:modified>
</cp:coreProperties>
</file>